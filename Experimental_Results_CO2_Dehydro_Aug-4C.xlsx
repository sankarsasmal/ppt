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Calculations_Data" sheetId="2" state="visible" r:id="rId2"/>
    <sheet xmlns:r="http://schemas.openxmlformats.org/officeDocument/2006/relationships" name="03_Governance_Q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E+00"/>
  </numFmts>
  <fonts count="11">
    <font>
      <name val="Calibri"/>
      <family val="2"/>
      <color theme="1"/>
      <sz val="11"/>
      <scheme val="minor"/>
    </font>
    <font>
      <name val="Calibri"/>
      <b val="1"/>
      <color rgb="001A1C1B"/>
      <sz val="16"/>
    </font>
    <font>
      <name val="Calibri"/>
      <i val="1"/>
      <color rgb="00555D58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A1C1B"/>
      <sz val="13"/>
    </font>
    <font>
      <name val="Calibri"/>
      <b val="1"/>
      <color rgb="00FFFFFF"/>
      <sz val="11"/>
    </font>
    <font>
      <name val="Calibri"/>
      <b val="1"/>
      <color rgb="00004D00"/>
      <sz val="11"/>
    </font>
    <font>
      <name val="Calibri"/>
      <b val="1"/>
      <color rgb="001A1C1B"/>
      <sz val="11"/>
    </font>
    <font>
      <name val="Calibri"/>
      <b val="1"/>
      <color rgb="008B0000"/>
      <sz val="11"/>
    </font>
    <font>
      <name val="Calibri"/>
      <b val="1"/>
      <color rgb="00553300"/>
      <sz val="11"/>
    </font>
  </fonts>
  <fills count="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A1C1B"/>
        <bgColor rgb="001A1C1B"/>
      </patternFill>
    </fill>
    <fill>
      <patternFill patternType="solid">
        <fgColor rgb="0095FF77"/>
        <bgColor rgb="0095FF77"/>
      </patternFill>
    </fill>
    <fill>
      <patternFill patternType="solid">
        <fgColor rgb="00E8FDE4"/>
        <bgColor rgb="00E8FDE4"/>
      </patternFill>
    </fill>
    <fill>
      <patternFill patternType="solid">
        <fgColor rgb="002A2E2E"/>
        <bgColor rgb="002A2E2E"/>
      </patternFill>
    </fill>
    <fill>
      <patternFill patternType="solid">
        <fgColor rgb="00F4F5F4"/>
        <bgColor rgb="00F4F5F4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555D58"/>
      </left>
      <right style="thin">
        <color rgb="00555D58"/>
      </right>
      <top style="thin">
        <color rgb="00555D58"/>
      </top>
      <bottom style="thin">
        <color rgb="00555D58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4" fillId="5" borderId="1" pivotButton="0" quotePrefix="0" xfId="0"/>
    <xf numFmtId="9" fontId="3" fillId="5" borderId="1" pivotButton="0" quotePrefix="0" xfId="0"/>
    <xf numFmtId="0" fontId="7" fillId="4" borderId="1" applyAlignment="1" pivotButton="0" quotePrefix="0" xfId="0">
      <alignment horizontal="center" vertical="center"/>
    </xf>
    <xf numFmtId="0" fontId="4" fillId="0" borderId="1" pivotButton="0" quotePrefix="0" xfId="0"/>
    <xf numFmtId="9" fontId="3" fillId="0" borderId="1" pivotButton="0" quotePrefix="0" xfId="0"/>
    <xf numFmtId="164" fontId="3" fillId="0" borderId="1" pivotButton="0" quotePrefix="0" xfId="0"/>
    <xf numFmtId="164" fontId="3" fillId="5" borderId="1" pivotButton="0" quotePrefix="0" xfId="0"/>
    <xf numFmtId="0" fontId="8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5" borderId="1" pivotButton="0" quotePrefix="0" xfId="0"/>
    <xf numFmtId="0" fontId="0" fillId="5" borderId="1" pivotButton="0" quotePrefix="0" xfId="0"/>
    <xf numFmtId="0" fontId="9" fillId="7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1" fontId="0" fillId="0" borderId="1" pivotButton="0" quotePrefix="0" xfId="0"/>
    <xf numFmtId="10" fontId="0" fillId="0" borderId="1" pivotButton="0" quotePrefix="0" xfId="0"/>
    <xf numFmtId="164" fontId="0" fillId="5" borderId="1" pivotButton="0" quotePrefix="0" xfId="0"/>
    <xf numFmtId="165" fontId="0" fillId="5" borderId="1" pivotButton="0" quotePrefix="0" xfId="0"/>
    <xf numFmtId="11" fontId="0" fillId="5" borderId="1" pivotButton="0" quotePrefix="0" xfId="0"/>
    <xf numFmtId="10" fontId="0" fillId="5" borderId="1" pivotButton="0" quotePrefix="0" xfId="0"/>
    <xf numFmtId="0" fontId="3" fillId="0" borderId="3" pivotButton="0" quotePrefix="0" xfId="0"/>
    <xf numFmtId="0" fontId="0" fillId="0" borderId="3" pivotButton="0" quotePrefix="0" xfId="0"/>
    <xf numFmtId="9" fontId="3" fillId="4" borderId="1" pivotButton="0" quotePrefix="0" xfId="0"/>
    <xf numFmtId="164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9" fontId="4" fillId="0" borderId="1" pivotButton="0" quotePrefix="0" xfId="0"/>
    <xf numFmtId="164" fontId="4" fillId="5" borderId="1" pivotButton="0" quotePrefix="0" xfId="0"/>
    <xf numFmtId="3" fontId="4" fillId="5" borderId="1" pivotButton="0" quotePrefix="0" xfId="0"/>
    <xf numFmtId="166" fontId="4" fillId="5" borderId="1" pivotButton="0" quotePrefix="0" xfId="0"/>
    <xf numFmtId="9" fontId="4" fillId="5" borderId="1" pivotButton="0" quotePrefix="0" xfId="0"/>
    <xf numFmtId="9" fontId="3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 Conversion vs TOS (h)</a:t>
            </a:r>
          </a:p>
        </rich>
      </tx>
    </title>
    <plotArea>
      <scatterChart>
        <ser>
          <idx val="0"/>
          <order val="0"/>
          <tx>
            <strRef>
              <f>'02_Calculations_Data'!D18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solidFill xmlns:a="http://schemas.openxmlformats.org/drawingml/2006/main">
                <a:srgbClr val="1A1C1B"/>
              </a:solidFill>
              <a:ln xmlns:a="http://schemas.openxmlformats.org/drawingml/2006/main">
                <a:solidFill>
                  <a:srgbClr val="1A1C1B"/>
                </a:solidFill>
                <a:prstDash val="solid"/>
              </a:ln>
            </spPr>
          </marker>
          <xVal>
            <numRef>
              <f>'02_Calculations_Data'!$A$19:$A$42</f>
            </numRef>
          </xVal>
          <yVal>
            <numRef>
              <f>'02_Calculations_Data'!$D$19:$D$42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on Stream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 Conversion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O2 Conversion vs TOS (h)</a:t>
            </a:r>
          </a:p>
        </rich>
      </tx>
    </title>
    <plotArea>
      <scatterChart>
        <ser>
          <idx val="0"/>
          <order val="0"/>
          <tx>
            <strRef>
              <f>'02_Calculations_Data'!G18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solidFill xmlns:a="http://schemas.openxmlformats.org/drawingml/2006/main">
                <a:srgbClr val="1A1C1B"/>
              </a:solidFill>
              <a:ln xmlns:a="http://schemas.openxmlformats.org/drawingml/2006/main">
                <a:solidFill>
                  <a:srgbClr val="1A1C1B"/>
                </a:solidFill>
                <a:prstDash val="solid"/>
              </a:ln>
            </spPr>
          </marker>
          <xVal>
            <numRef>
              <f>'02_Calculations_Data'!$A$19:$A$42</f>
            </numRef>
          </xVal>
          <yVal>
            <numRef>
              <f>'02_Calculations_Data'!$G$19:$G$42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on Stream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O2 Conversion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H2 Conversion vs TOS (h)</a:t>
            </a:r>
          </a:p>
        </rich>
      </tx>
    </title>
    <plotArea>
      <scatterChart>
        <ser>
          <idx val="0"/>
          <order val="0"/>
          <tx>
            <strRef>
              <f>'02_Calculations_Data'!J18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solidFill xmlns:a="http://schemas.openxmlformats.org/drawingml/2006/main">
                <a:srgbClr val="1A1C1B"/>
              </a:solidFill>
              <a:ln xmlns:a="http://schemas.openxmlformats.org/drawingml/2006/main">
                <a:solidFill>
                  <a:srgbClr val="1A1C1B"/>
                </a:solidFill>
                <a:prstDash val="solid"/>
              </a:ln>
            </spPr>
          </marker>
          <xVal>
            <numRef>
              <f>'02_Calculations_Data'!$A$19:$A$42</f>
            </numRef>
          </xVal>
          <yVal>
            <numRef>
              <f>'02_Calculations_Data'!$J$19:$J$42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on Stream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H2 Conversion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0" customWidth="1" min="5" max="5"/>
    <col width="30" customWidth="1" min="6" max="6"/>
  </cols>
  <sheetData>
    <row r="1">
      <c r="A1" s="1" t="inlineStr">
        <is>
          <t>CO Dehydro Run Performance &amp; Milestone Summary</t>
        </is>
      </c>
    </row>
    <row r="2">
      <c r="A2" s="2" t="inlineStr">
        <is>
          <t>Sub-stoichiometric (0.95) O2 Concentration Testing | Run ID: Aug-4C</t>
        </is>
      </c>
    </row>
    <row r="3"/>
    <row r="4">
      <c r="A4" s="3" t="inlineStr">
        <is>
          <t>Run ID:</t>
        </is>
      </c>
      <c r="B4" s="4" t="inlineStr">
        <is>
          <t>Aug-4C</t>
        </is>
      </c>
      <c r="D4" s="3" t="inlineStr">
        <is>
          <t>Experiment Start:</t>
        </is>
      </c>
      <c r="E4" s="4" t="inlineStr">
        <is>
          <t>27/08/26 16:34</t>
        </is>
      </c>
    </row>
    <row r="5">
      <c r="A5" s="3" t="inlineStr">
        <is>
          <t>Experiment Title:</t>
        </is>
      </c>
      <c r="B5" s="4" t="inlineStr">
        <is>
          <t>CO conversion at sub-stoichiometric (0.95) O2 conc.</t>
        </is>
      </c>
      <c r="D5" s="3" t="inlineStr">
        <is>
          <t>Experiment End:</t>
        </is>
      </c>
      <c r="E5" s="4" t="inlineStr">
        <is>
          <t>28/08/26 8:13</t>
        </is>
      </c>
    </row>
    <row r="6">
      <c r="A6" s="3" t="inlineStr">
        <is>
          <t>Project Name:</t>
        </is>
      </c>
      <c r="B6" s="4" t="inlineStr">
        <is>
          <t>CO2 dehydro</t>
        </is>
      </c>
      <c r="D6" s="3" t="inlineStr">
        <is>
          <t>Time on Stream (TOS):</t>
        </is>
      </c>
      <c r="E6" s="4" t="inlineStr">
        <is>
          <t>15.7 hrs</t>
        </is>
      </c>
    </row>
    <row r="7">
      <c r="A7" s="3" t="inlineStr">
        <is>
          <t>Prepared By:</t>
        </is>
      </c>
      <c r="B7" s="4" t="inlineStr">
        <is>
          <t>Sankar / Koushik</t>
        </is>
      </c>
      <c r="D7" s="3" t="inlineStr">
        <is>
          <t>Catalyst &amp; Volume:</t>
        </is>
      </c>
      <c r="E7" s="4" t="inlineStr">
        <is>
          <t>JM_ID (4 mL)</t>
        </is>
      </c>
    </row>
    <row r="8">
      <c r="A8" s="3" t="inlineStr">
        <is>
          <t>Reactor Temp / Press:</t>
        </is>
      </c>
      <c r="B8" s="4" t="inlineStr">
        <is>
          <t>100 °C / 24 barg</t>
        </is>
      </c>
      <c r="D8" s="3" t="inlineStr">
        <is>
          <t>nGHSV:</t>
        </is>
      </c>
      <c r="E8" s="4" t="inlineStr">
        <is>
          <t>13,178 h-1</t>
        </is>
      </c>
    </row>
    <row r="9"/>
    <row r="10">
      <c r="A10" s="5" t="inlineStr">
        <is>
          <t>Executive Key Findings</t>
        </is>
      </c>
    </row>
    <row r="11">
      <c r="A11" s="6" t="inlineStr">
        <is>
          <t>1. CO Conversion: Achieved an average conversion of 98% across 15.7 hours on stream under sub-stoichiometric O2 conditions.</t>
        </is>
      </c>
    </row>
    <row r="12">
      <c r="A12" s="6" t="inlineStr">
        <is>
          <t>2. O2 &amp; H2 Conversion: O2 conversion maintained steady at ~90%, while H2 conversion averaged 70% across all sampling intervals.</t>
        </is>
      </c>
    </row>
    <row r="13">
      <c r="A13" s="6" t="inlineStr">
        <is>
          <t>3. Gas Flow Stability: Total inlet gas flow maintained at 878.5 Nml/min under 25.0 bara total pressure at 100°C.</t>
        </is>
      </c>
    </row>
    <row r="14">
      <c r="A14" s="6" t="inlineStr">
        <is>
          <t>4. Governance &amp; Verification: All GC channel calibrations (MS5A heated injectors) verified against blank tube baseline.</t>
        </is>
      </c>
    </row>
    <row r="15"/>
    <row r="16">
      <c r="A16" s="5" t="inlineStr">
        <is>
          <t>Key Performance Metrics Summary</t>
        </is>
      </c>
    </row>
    <row r="17">
      <c r="A17" s="7" t="inlineStr">
        <is>
          <t>Metric / Parameter</t>
        </is>
      </c>
      <c r="B17" s="7" t="inlineStr">
        <is>
          <t>Target / Baseline</t>
        </is>
      </c>
      <c r="C17" s="7" t="inlineStr">
        <is>
          <t>Experimental Average</t>
        </is>
      </c>
      <c r="D17" s="7" t="inlineStr">
        <is>
          <t>Variance</t>
        </is>
      </c>
      <c r="E17" s="7" t="inlineStr">
        <is>
          <t>Status</t>
        </is>
      </c>
    </row>
    <row r="18">
      <c r="A18" s="8" t="inlineStr">
        <is>
          <t>Average CO Conversion</t>
        </is>
      </c>
      <c r="B18" s="8" t="inlineStr">
        <is>
          <t>&gt;= 95%</t>
        </is>
      </c>
      <c r="C18" s="9">
        <f>'02_Calculations_Data'!C12</f>
        <v/>
      </c>
      <c r="D18" s="8" t="inlineStr">
        <is>
          <t>+3.0%</t>
        </is>
      </c>
      <c r="E18" s="10" t="inlineStr">
        <is>
          <t>MET</t>
        </is>
      </c>
    </row>
    <row r="19">
      <c r="A19" s="11" t="inlineStr">
        <is>
          <t>Average O2 Conversion</t>
        </is>
      </c>
      <c r="B19" s="11" t="inlineStr">
        <is>
          <t>&gt;= 85%</t>
        </is>
      </c>
      <c r="C19" s="12">
        <f>'02_Calculations_Data'!C14</f>
        <v/>
      </c>
      <c r="D19" s="11" t="inlineStr">
        <is>
          <t>+5.0%</t>
        </is>
      </c>
      <c r="E19" s="10" t="inlineStr">
        <is>
          <t>MET</t>
        </is>
      </c>
    </row>
    <row r="20">
      <c r="A20" s="8" t="inlineStr">
        <is>
          <t>Average H2 Conversion</t>
        </is>
      </c>
      <c r="B20" s="8" t="inlineStr">
        <is>
          <t>~ 70%</t>
        </is>
      </c>
      <c r="C20" s="9">
        <f>'02_Calculations_Data'!C13</f>
        <v/>
      </c>
      <c r="D20" s="8" t="inlineStr">
        <is>
          <t>0.0%</t>
        </is>
      </c>
      <c r="E20" s="10" t="inlineStr">
        <is>
          <t>MET</t>
        </is>
      </c>
    </row>
    <row r="21">
      <c r="A21" s="11" t="inlineStr">
        <is>
          <t>Total Time on Stream (TOS)</t>
        </is>
      </c>
      <c r="B21" s="11" t="inlineStr">
        <is>
          <t>15.0 hrs</t>
        </is>
      </c>
      <c r="C21" s="13">
        <f>'02_Calculations_Data'!C7</f>
        <v/>
      </c>
      <c r="D21" s="11" t="inlineStr">
        <is>
          <t>+0.7 hrs</t>
        </is>
      </c>
      <c r="E21" s="10" t="inlineStr">
        <is>
          <t>EXCEEDED</t>
        </is>
      </c>
    </row>
    <row r="22">
      <c r="A22" s="8" t="inlineStr">
        <is>
          <t>nGHSV</t>
        </is>
      </c>
      <c r="B22" s="8" t="inlineStr">
        <is>
          <t>13,000 h-1</t>
        </is>
      </c>
      <c r="C22" s="14">
        <f>'02_Calculations_Data'!C11</f>
        <v/>
      </c>
      <c r="D22" s="8" t="inlineStr">
        <is>
          <t>+178 h-1</t>
        </is>
      </c>
      <c r="E22" s="10" t="inlineStr">
        <is>
          <t>MET</t>
        </is>
      </c>
    </row>
    <row r="23"/>
    <row r="24">
      <c r="A24" s="5" t="inlineStr">
        <is>
          <t>Key Assumptions &amp; Critical Cautions / Limitations</t>
        </is>
      </c>
    </row>
    <row r="25">
      <c r="A25" s="15" t="inlineStr">
        <is>
          <t>Key Technical &amp; Operational Assumptions</t>
        </is>
      </c>
      <c r="D25" s="16" t="inlineStr">
        <is>
          <t>Important Cautions, Boundaries &amp; Limitations</t>
        </is>
      </c>
    </row>
    <row r="26">
      <c r="A26" s="17" t="inlineStr">
        <is>
          <t>1. High SP Calibration:</t>
        </is>
      </c>
      <c r="B26" s="8" t="inlineStr">
        <is>
          <t>N2-header FIC fudge factor of 0.7 applied - value to be confirmed by calibration.</t>
        </is>
      </c>
      <c r="C26" s="18" t="n"/>
      <c r="D26" s="19" t="inlineStr">
        <is>
          <t>1. Sub-stoichiometric O2 Risk:</t>
        </is>
      </c>
      <c r="E26" s="20" t="inlineStr">
        <is>
          <t>Operated at 0.95 O2 ratio; close monitoring required to prevent unreacted CO slip.</t>
        </is>
      </c>
      <c r="F26" s="21" t="n"/>
    </row>
    <row r="27">
      <c r="A27" s="17" t="inlineStr">
        <is>
          <t>2. Reference Conditions:</t>
        </is>
      </c>
      <c r="B27" s="8" t="inlineStr">
        <is>
          <t>Normal temperature set at 20°C and normal pressure at 101,325 Pa.</t>
        </is>
      </c>
      <c r="C27" s="18" t="n"/>
      <c r="D27" s="19" t="inlineStr">
        <is>
          <t>2. Pressure Drop Bounds:</t>
        </is>
      </c>
      <c r="E27" s="20" t="inlineStr">
        <is>
          <t>Reactor pressure set at 24 barg / 25 bara total pressure.</t>
        </is>
      </c>
      <c r="F27" s="21" t="n"/>
    </row>
    <row r="28">
      <c r="A28" s="17" t="inlineStr">
        <is>
          <t>3. Constant Density Basis:</t>
        </is>
      </c>
      <c r="B28" s="8" t="inlineStr">
        <is>
          <t>Gas component flows based on ideal molar mass ratios (CO2: 44.01, N2: 28.01, H2: 2.02).</t>
        </is>
      </c>
      <c r="C28" s="18" t="n"/>
      <c r="D28" s="19" t="inlineStr">
        <is>
          <t>3. Trace Component Accuracy:</t>
        </is>
      </c>
      <c r="E28" s="20" t="inlineStr">
        <is>
          <t>CO outlet ppmv measurements (&lt;200 ppmv) carry higher relative instrument variance.</t>
        </is>
      </c>
      <c r="F28" s="21" t="n"/>
    </row>
    <row r="29">
      <c r="A29" s="17" t="inlineStr">
        <is>
          <t>4. Blank Tube Calibration:</t>
        </is>
      </c>
      <c r="B29" s="8" t="inlineStr">
        <is>
          <t>H2 RF (1091380) taken from latest blank tube experiment at RT (tab '3A_4A_Blank.xlsx').</t>
        </is>
      </c>
      <c r="C29" s="18" t="n"/>
      <c r="D29" s="19" t="inlineStr">
        <is>
          <t>4. H2 Handling &amp; Safety:</t>
        </is>
      </c>
      <c r="E29" s="20" t="inlineStr">
        <is>
          <t>Continuous LEL calibration required for high H2 header FIC operations.</t>
        </is>
      </c>
      <c r="F29" s="21" t="n"/>
    </row>
  </sheetData>
  <mergeCells count="10">
    <mergeCell ref="A25:C25"/>
    <mergeCell ref="B29:C29"/>
    <mergeCell ref="E29:F29"/>
    <mergeCell ref="B28:C28"/>
    <mergeCell ref="E27:F27"/>
    <mergeCell ref="E28:F28"/>
    <mergeCell ref="E26:F26"/>
    <mergeCell ref="B26:C26"/>
    <mergeCell ref="B27:C27"/>
    <mergeCell ref="D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0" customWidth="1" min="4" max="4"/>
    <col width="16" customWidth="1" min="5" max="5"/>
    <col width="22" customWidth="1" min="6" max="6"/>
    <col width="24" customWidth="1" min="7" max="7"/>
    <col width="20" customWidth="1" min="8" max="8"/>
    <col width="22" customWidth="1" min="9" max="9"/>
    <col width="20" customWidth="1" min="10" max="10"/>
    <col width="14" customWidth="1" min="11" max="11"/>
  </cols>
  <sheetData>
    <row r="1">
      <c r="A1" s="1" t="inlineStr">
        <is>
          <t>Experimental Feed Basis, Raw GC Logs &amp; Conversion Calculations</t>
        </is>
      </c>
    </row>
    <row r="2"/>
    <row r="3">
      <c r="A3" s="5" t="inlineStr">
        <is>
          <t>1. Experiment Metadata &amp; Summary Averages</t>
        </is>
      </c>
      <c r="E3" s="5" t="inlineStr">
        <is>
          <t>2. Feed Inlet Gas Specifications &amp; Partial Pressures</t>
        </is>
      </c>
    </row>
    <row r="4">
      <c r="A4" s="3" t="inlineStr">
        <is>
          <t>Run ID:</t>
        </is>
      </c>
      <c r="C4" s="22" t="inlineStr">
        <is>
          <t>Aug-4C</t>
        </is>
      </c>
      <c r="E4" s="7" t="inlineStr">
        <is>
          <t>Component</t>
        </is>
      </c>
      <c r="F4" s="7" t="inlineStr">
        <is>
          <t>Header FIC (Nml/min)</t>
        </is>
      </c>
      <c r="G4" s="7" t="inlineStr">
        <is>
          <t>Component Flow (Nml/min)</t>
        </is>
      </c>
      <c r="H4" s="7" t="inlineStr">
        <is>
          <t>Partial Press (bar)</t>
        </is>
      </c>
      <c r="I4" s="7" t="inlineStr">
        <is>
          <t>Inlet Mol Flow (mol/min)</t>
        </is>
      </c>
      <c r="J4" s="7" t="inlineStr">
        <is>
          <t>Mass Flow (g/min)</t>
        </is>
      </c>
      <c r="K4" s="7" t="inlineStr">
        <is>
          <t>Vol %</t>
        </is>
      </c>
    </row>
    <row r="5">
      <c r="A5" s="3" t="inlineStr">
        <is>
          <t>Experiment Title:</t>
        </is>
      </c>
      <c r="C5" s="22" t="inlineStr">
        <is>
          <t>To Check the CO conversion at sub-stoichiometric(0.95) concentration of O2</t>
        </is>
      </c>
      <c r="E5" s="22" t="inlineStr">
        <is>
          <t>CO2</t>
        </is>
      </c>
      <c r="F5" s="23" t="n">
        <v>473.3</v>
      </c>
      <c r="G5" s="23" t="n">
        <v>500.9</v>
      </c>
      <c r="H5" s="24" t="n">
        <v>14.252</v>
      </c>
      <c r="I5" s="25" t="n">
        <v>0.021</v>
      </c>
      <c r="J5" s="24" t="n">
        <v>0.916</v>
      </c>
      <c r="K5" s="26" t="n">
        <v>0.57</v>
      </c>
    </row>
    <row r="6">
      <c r="A6" s="3" t="inlineStr">
        <is>
          <t>Project Name:</t>
        </is>
      </c>
      <c r="C6" s="22" t="inlineStr">
        <is>
          <t>CO2 dehydro</t>
        </is>
      </c>
      <c r="E6" s="17" t="inlineStr">
        <is>
          <t>N2</t>
        </is>
      </c>
      <c r="F6" s="27" t="n">
        <v>355.9</v>
      </c>
      <c r="G6" s="27" t="n">
        <v>361.5</v>
      </c>
      <c r="H6" s="28" t="n">
        <v>10.288</v>
      </c>
      <c r="I6" s="29" t="n">
        <v>0.015</v>
      </c>
      <c r="J6" s="28" t="n">
        <v>0.421</v>
      </c>
      <c r="K6" s="30" t="n">
        <v>0.412</v>
      </c>
    </row>
    <row r="7">
      <c r="A7" s="3" t="inlineStr">
        <is>
          <t>Prepared By:</t>
        </is>
      </c>
      <c r="C7" s="22" t="inlineStr">
        <is>
          <t>Sankar / Koushik</t>
        </is>
      </c>
      <c r="E7" s="22" t="inlineStr">
        <is>
          <t>CO</t>
        </is>
      </c>
      <c r="F7" s="23" t="n">
        <v>0</v>
      </c>
      <c r="G7" s="23" t="n">
        <v>0.2</v>
      </c>
      <c r="H7" s="24" t="n">
        <v>0.006</v>
      </c>
      <c r="I7" s="25" t="n">
        <v>8.899999999999999e-06</v>
      </c>
      <c r="J7" s="24" t="n">
        <v>0</v>
      </c>
      <c r="K7" s="26" t="n">
        <v>0.000243</v>
      </c>
    </row>
    <row r="8">
      <c r="A8" s="3" t="inlineStr">
        <is>
          <t>TOS (h):</t>
        </is>
      </c>
      <c r="C8" s="22" t="n">
        <v>15.65</v>
      </c>
      <c r="E8" s="17" t="inlineStr">
        <is>
          <t>H2</t>
        </is>
      </c>
      <c r="F8" s="27" t="n">
        <v>4.4</v>
      </c>
      <c r="G8" s="27" t="n">
        <v>4.4</v>
      </c>
      <c r="H8" s="28" t="n">
        <v>0.125</v>
      </c>
      <c r="I8" s="29" t="n">
        <v>0.00018</v>
      </c>
      <c r="J8" s="28" t="n">
        <v>0</v>
      </c>
      <c r="K8" s="30" t="n">
        <v>0.005008</v>
      </c>
    </row>
    <row r="9">
      <c r="A9" s="3" t="inlineStr">
        <is>
          <t>Catalyst Volume (mL):</t>
        </is>
      </c>
      <c r="C9" s="22" t="n">
        <v>4</v>
      </c>
      <c r="E9" s="22" t="inlineStr">
        <is>
          <t>O2</t>
        </is>
      </c>
      <c r="F9" s="23" t="n">
        <v>0</v>
      </c>
      <c r="G9" s="23" t="n">
        <v>2.2</v>
      </c>
      <c r="H9" s="24" t="n">
        <v>0.063</v>
      </c>
      <c r="I9" s="25" t="n">
        <v>9.2e-05</v>
      </c>
      <c r="J9" s="24" t="n">
        <v>0.003</v>
      </c>
      <c r="K9" s="26" t="n">
        <v>0.002512</v>
      </c>
    </row>
    <row r="10">
      <c r="A10" s="3" t="inlineStr">
        <is>
          <t>Reactor Temperature (°C):</t>
        </is>
      </c>
      <c r="C10" s="22" t="n">
        <v>100</v>
      </c>
      <c r="E10" s="17" t="inlineStr">
        <is>
          <t>H2O</t>
        </is>
      </c>
      <c r="F10" s="27" t="n">
        <v>35.6</v>
      </c>
      <c r="G10" s="27" t="n">
        <v>9.300000000000001</v>
      </c>
      <c r="H10" s="28" t="n">
        <v>0.266</v>
      </c>
      <c r="I10" s="29" t="n">
        <v>0.00039</v>
      </c>
      <c r="J10" s="28" t="n">
        <v>0.007</v>
      </c>
      <c r="K10" s="30" t="n">
        <v>0.010639</v>
      </c>
    </row>
    <row r="11">
      <c r="A11" s="3" t="inlineStr">
        <is>
          <t>Reactor Pressure (barg):</t>
        </is>
      </c>
      <c r="C11" s="22" t="n">
        <v>24</v>
      </c>
      <c r="E11" s="31" t="inlineStr">
        <is>
          <t>Total Flow</t>
        </is>
      </c>
      <c r="F11" s="32" t="n"/>
      <c r="G11" s="31" t="n">
        <v>878.5</v>
      </c>
      <c r="H11" s="31" t="n">
        <v>25</v>
      </c>
      <c r="I11" s="31" t="n">
        <v>0.037</v>
      </c>
      <c r="J11" s="31" t="n">
        <v>1.35</v>
      </c>
      <c r="K11" s="31" t="n">
        <v>1</v>
      </c>
    </row>
    <row r="12">
      <c r="A12" s="3" t="inlineStr">
        <is>
          <t>nGHSV (h-1):</t>
        </is>
      </c>
      <c r="C12" s="22" t="n">
        <v>13178</v>
      </c>
    </row>
    <row r="13">
      <c r="A13" s="3" t="inlineStr">
        <is>
          <t>Avg CO Conversion:</t>
        </is>
      </c>
      <c r="C13" s="33" t="n">
        <v>0.98</v>
      </c>
    </row>
    <row r="14">
      <c r="A14" s="3" t="inlineStr">
        <is>
          <t>Avg H2 Conversion:</t>
        </is>
      </c>
      <c r="C14" s="33" t="n">
        <v>0.7</v>
      </c>
    </row>
    <row r="15">
      <c r="A15" s="3" t="inlineStr">
        <is>
          <t>Avg O2 Conversion:</t>
        </is>
      </c>
      <c r="C15" s="33" t="n">
        <v>0.9</v>
      </c>
    </row>
    <row r="16"/>
    <row r="17">
      <c r="A17" s="5" t="inlineStr">
        <is>
          <t>3. Time-Series Experimental GC Outlet Logs &amp; Conversion Calculations</t>
        </is>
      </c>
    </row>
    <row r="18">
      <c r="A18" s="7" t="inlineStr">
        <is>
          <t>TOS (h)</t>
        </is>
      </c>
      <c r="B18" s="7" t="inlineStr">
        <is>
          <t>CO Area</t>
        </is>
      </c>
      <c r="C18" s="7" t="inlineStr">
        <is>
          <t>CO OUT (mol/min)</t>
        </is>
      </c>
      <c r="D18" s="7" t="inlineStr">
        <is>
          <t>CO Conversion (%)</t>
        </is>
      </c>
      <c r="E18" s="7" t="inlineStr">
        <is>
          <t>O2 Area</t>
        </is>
      </c>
      <c r="F18" s="7" t="inlineStr">
        <is>
          <t>O2 OUT (mol/min)</t>
        </is>
      </c>
      <c r="G18" s="7" t="inlineStr">
        <is>
          <t>O2 Conversion (%)</t>
        </is>
      </c>
      <c r="H18" s="7" t="inlineStr">
        <is>
          <t>H2 Area</t>
        </is>
      </c>
      <c r="I18" s="7" t="inlineStr">
        <is>
          <t>H2 OUT (mol/min)</t>
        </is>
      </c>
      <c r="J18" s="7" t="inlineStr">
        <is>
          <t>H2 Conversion (%)</t>
        </is>
      </c>
    </row>
    <row r="19">
      <c r="A19" s="34" t="n">
        <v>0</v>
      </c>
      <c r="B19" s="35" t="n">
        <v>0</v>
      </c>
      <c r="C19" s="36" t="n">
        <v>0</v>
      </c>
      <c r="D19" s="37" t="n">
        <v>1</v>
      </c>
      <c r="E19" s="35" t="n">
        <v>48592</v>
      </c>
      <c r="F19" s="36" t="n">
        <v>9.500000000000001e-06</v>
      </c>
      <c r="G19" s="37" t="n">
        <v>0.9</v>
      </c>
      <c r="H19" s="35" t="n">
        <v>299733</v>
      </c>
      <c r="I19" s="36" t="n">
        <v>5e-05</v>
      </c>
      <c r="J19" s="37" t="n">
        <v>0.73</v>
      </c>
    </row>
    <row r="20">
      <c r="A20" s="38" t="n">
        <v>0.9</v>
      </c>
      <c r="B20" s="39" t="n">
        <v>0</v>
      </c>
      <c r="C20" s="40" t="n">
        <v>0</v>
      </c>
      <c r="D20" s="41" t="n">
        <v>1</v>
      </c>
      <c r="E20" s="39" t="n">
        <v>48660</v>
      </c>
      <c r="F20" s="40" t="n">
        <v>9.799999999999999e-06</v>
      </c>
      <c r="G20" s="41" t="n">
        <v>0.89</v>
      </c>
      <c r="H20" s="39" t="n">
        <v>336221</v>
      </c>
      <c r="I20" s="40" t="n">
        <v>5.6e-05</v>
      </c>
      <c r="J20" s="41" t="n">
        <v>0.6899999999999999</v>
      </c>
    </row>
    <row r="21">
      <c r="A21" s="34" t="n">
        <v>1.1</v>
      </c>
      <c r="B21" s="35" t="n">
        <v>0</v>
      </c>
      <c r="C21" s="36" t="n">
        <v>0</v>
      </c>
      <c r="D21" s="37" t="n">
        <v>1</v>
      </c>
      <c r="E21" s="35" t="n">
        <v>50610</v>
      </c>
      <c r="F21" s="36" t="n">
        <v>1e-05</v>
      </c>
      <c r="G21" s="37" t="n">
        <v>0.89</v>
      </c>
      <c r="H21" s="35" t="n">
        <v>348765</v>
      </c>
      <c r="I21" s="36" t="n">
        <v>5.8e-05</v>
      </c>
      <c r="J21" s="37" t="n">
        <v>0.68</v>
      </c>
    </row>
    <row r="22">
      <c r="A22" s="38" t="n">
        <v>2.1</v>
      </c>
      <c r="B22" s="39" t="n">
        <v>0</v>
      </c>
      <c r="C22" s="40" t="n">
        <v>0</v>
      </c>
      <c r="D22" s="41" t="n">
        <v>1</v>
      </c>
      <c r="E22" s="39" t="n">
        <v>46503</v>
      </c>
      <c r="F22" s="40" t="n">
        <v>9.099999999999999e-06</v>
      </c>
      <c r="G22" s="41" t="n">
        <v>0.9</v>
      </c>
      <c r="H22" s="39" t="n">
        <v>357717</v>
      </c>
      <c r="I22" s="40" t="n">
        <v>6e-05</v>
      </c>
      <c r="J22" s="41" t="n">
        <v>0.67</v>
      </c>
    </row>
    <row r="23">
      <c r="A23" s="34" t="n">
        <v>3</v>
      </c>
      <c r="B23" s="35" t="n">
        <v>0</v>
      </c>
      <c r="C23" s="36" t="n">
        <v>0</v>
      </c>
      <c r="D23" s="37" t="n">
        <v>1</v>
      </c>
      <c r="E23" s="35" t="n">
        <v>47605</v>
      </c>
      <c r="F23" s="36" t="n">
        <v>9.6e-06</v>
      </c>
      <c r="G23" s="37" t="n">
        <v>0.9</v>
      </c>
      <c r="H23" s="35" t="n">
        <v>324438</v>
      </c>
      <c r="I23" s="36" t="n">
        <v>5.4e-05</v>
      </c>
      <c r="J23" s="37" t="n">
        <v>0.7</v>
      </c>
    </row>
    <row r="24">
      <c r="A24" s="38" t="n">
        <v>3.2</v>
      </c>
      <c r="B24" s="39" t="n">
        <v>0</v>
      </c>
      <c r="C24" s="40" t="n">
        <v>0</v>
      </c>
      <c r="D24" s="41" t="n">
        <v>1</v>
      </c>
      <c r="E24" s="39" t="n">
        <v>49282</v>
      </c>
      <c r="F24" s="40" t="n">
        <v>1e-05</v>
      </c>
      <c r="G24" s="41" t="n">
        <v>0.89</v>
      </c>
      <c r="H24" s="39" t="n">
        <v>341456</v>
      </c>
      <c r="I24" s="40" t="n">
        <v>5.7e-05</v>
      </c>
      <c r="J24" s="41" t="n">
        <v>0.6899999999999999</v>
      </c>
    </row>
    <row r="25">
      <c r="A25" s="34" t="n">
        <v>4.2</v>
      </c>
      <c r="B25" s="35" t="n">
        <v>9503</v>
      </c>
      <c r="C25" s="36" t="n">
        <v>1.8e-06</v>
      </c>
      <c r="D25" s="37" t="n">
        <v>0.79</v>
      </c>
      <c r="E25" s="35" t="n">
        <v>45800</v>
      </c>
      <c r="F25" s="36" t="n">
        <v>9.2e-06</v>
      </c>
      <c r="G25" s="37" t="n">
        <v>0.9</v>
      </c>
      <c r="H25" s="35" t="n">
        <v>374581</v>
      </c>
      <c r="I25" s="36" t="n">
        <v>6.3e-05</v>
      </c>
      <c r="J25" s="37" t="n">
        <v>0.66</v>
      </c>
    </row>
    <row r="26">
      <c r="A26" s="38" t="n">
        <v>5.1</v>
      </c>
      <c r="B26" s="39" t="n">
        <v>0</v>
      </c>
      <c r="C26" s="40" t="n">
        <v>0</v>
      </c>
      <c r="D26" s="41" t="n">
        <v>1</v>
      </c>
      <c r="E26" s="39" t="n">
        <v>47459</v>
      </c>
      <c r="F26" s="40" t="n">
        <v>9.6e-06</v>
      </c>
      <c r="G26" s="41" t="n">
        <v>0.9</v>
      </c>
      <c r="H26" s="39" t="n">
        <v>263735</v>
      </c>
      <c r="I26" s="40" t="n">
        <v>4.4e-05</v>
      </c>
      <c r="J26" s="41" t="n">
        <v>0.76</v>
      </c>
    </row>
    <row r="27">
      <c r="A27" s="34" t="n">
        <v>5.3</v>
      </c>
      <c r="B27" s="35" t="n">
        <v>0</v>
      </c>
      <c r="C27" s="36" t="n">
        <v>0</v>
      </c>
      <c r="D27" s="37" t="n">
        <v>1</v>
      </c>
      <c r="E27" s="35" t="n">
        <v>49361</v>
      </c>
      <c r="F27" s="36" t="n">
        <v>1e-05</v>
      </c>
      <c r="G27" s="37" t="n">
        <v>0.89</v>
      </c>
      <c r="H27" s="35" t="n">
        <v>342501</v>
      </c>
      <c r="I27" s="36" t="n">
        <v>5.7e-05</v>
      </c>
      <c r="J27" s="37" t="n">
        <v>0.6899999999999999</v>
      </c>
    </row>
    <row r="28">
      <c r="A28" s="38" t="n">
        <v>6.2</v>
      </c>
      <c r="B28" s="39" t="n">
        <v>0</v>
      </c>
      <c r="C28" s="40" t="n">
        <v>0</v>
      </c>
      <c r="D28" s="41" t="n">
        <v>1</v>
      </c>
      <c r="E28" s="39" t="n">
        <v>45803</v>
      </c>
      <c r="F28" s="40" t="n">
        <v>9e-06</v>
      </c>
      <c r="G28" s="41" t="n">
        <v>0.9</v>
      </c>
      <c r="H28" s="39" t="n">
        <v>335516</v>
      </c>
      <c r="I28" s="40" t="n">
        <v>5.6e-05</v>
      </c>
      <c r="J28" s="41" t="n">
        <v>0.6899999999999999</v>
      </c>
    </row>
    <row r="29">
      <c r="A29" s="34" t="n">
        <v>7.1</v>
      </c>
      <c r="B29" s="35" t="n">
        <v>0</v>
      </c>
      <c r="C29" s="36" t="n">
        <v>0</v>
      </c>
      <c r="D29" s="37" t="n">
        <v>1</v>
      </c>
      <c r="E29" s="35" t="n">
        <v>47034</v>
      </c>
      <c r="F29" s="36" t="n">
        <v>9.500000000000001e-06</v>
      </c>
      <c r="G29" s="37" t="n">
        <v>0.9</v>
      </c>
      <c r="H29" s="35" t="n">
        <v>399603</v>
      </c>
      <c r="I29" s="36" t="n">
        <v>6.7e-05</v>
      </c>
      <c r="J29" s="37" t="n">
        <v>0.63</v>
      </c>
    </row>
    <row r="30">
      <c r="A30" s="38" t="n">
        <v>7.3</v>
      </c>
      <c r="B30" s="39" t="n">
        <v>1598</v>
      </c>
      <c r="C30" s="40" t="n">
        <v>3.1e-07</v>
      </c>
      <c r="D30" s="41" t="n">
        <v>0.96</v>
      </c>
      <c r="E30" s="39" t="n">
        <v>49261</v>
      </c>
      <c r="F30" s="40" t="n">
        <v>1e-05</v>
      </c>
      <c r="G30" s="41" t="n">
        <v>0.89</v>
      </c>
      <c r="H30" s="39" t="n">
        <v>372086</v>
      </c>
      <c r="I30" s="40" t="n">
        <v>6.2e-05</v>
      </c>
      <c r="J30" s="41" t="n">
        <v>0.66</v>
      </c>
    </row>
    <row r="31">
      <c r="A31" s="34" t="n">
        <v>8.300000000000001</v>
      </c>
      <c r="B31" s="35" t="n">
        <v>15922</v>
      </c>
      <c r="C31" s="36" t="n">
        <v>3e-06</v>
      </c>
      <c r="D31" s="37" t="n">
        <v>0.66</v>
      </c>
      <c r="E31" s="35" t="n">
        <v>46134</v>
      </c>
      <c r="F31" s="36" t="n">
        <v>9.099999999999999e-06</v>
      </c>
      <c r="G31" s="37" t="n">
        <v>0.9</v>
      </c>
      <c r="H31" s="35" t="n">
        <v>275432</v>
      </c>
      <c r="I31" s="36" t="n">
        <v>4.6e-05</v>
      </c>
      <c r="J31" s="37" t="n">
        <v>0.75</v>
      </c>
    </row>
    <row r="32">
      <c r="A32" s="38" t="n">
        <v>9.199999999999999</v>
      </c>
      <c r="B32" s="39" t="n">
        <v>0</v>
      </c>
      <c r="C32" s="40" t="n">
        <v>0</v>
      </c>
      <c r="D32" s="41" t="n">
        <v>1</v>
      </c>
      <c r="E32" s="39" t="n">
        <v>46889</v>
      </c>
      <c r="F32" s="40" t="n">
        <v>9.500000000000001e-06</v>
      </c>
      <c r="G32" s="41" t="n">
        <v>0.9</v>
      </c>
      <c r="H32" s="39" t="n">
        <v>304834</v>
      </c>
      <c r="I32" s="40" t="n">
        <v>5.1e-05</v>
      </c>
      <c r="J32" s="41" t="n">
        <v>0.72</v>
      </c>
    </row>
    <row r="33">
      <c r="A33" s="34" t="n">
        <v>9.4</v>
      </c>
      <c r="B33" s="35" t="n">
        <v>0</v>
      </c>
      <c r="C33" s="36" t="n">
        <v>0</v>
      </c>
      <c r="D33" s="37" t="n">
        <v>1</v>
      </c>
      <c r="E33" s="35" t="n">
        <v>49264</v>
      </c>
      <c r="F33" s="36" t="n">
        <v>1e-05</v>
      </c>
      <c r="G33" s="37" t="n">
        <v>0.89</v>
      </c>
      <c r="H33" s="35" t="n">
        <v>293711</v>
      </c>
      <c r="I33" s="36" t="n">
        <v>4.9e-05</v>
      </c>
      <c r="J33" s="37" t="n">
        <v>0.73</v>
      </c>
    </row>
    <row r="34">
      <c r="A34" s="38" t="n">
        <v>10.4</v>
      </c>
      <c r="B34" s="39" t="n">
        <v>0</v>
      </c>
      <c r="C34" s="40" t="n">
        <v>0</v>
      </c>
      <c r="D34" s="41" t="n">
        <v>1</v>
      </c>
      <c r="E34" s="39" t="n">
        <v>45923</v>
      </c>
      <c r="F34" s="40" t="n">
        <v>9e-06</v>
      </c>
      <c r="G34" s="41" t="n">
        <v>0.9</v>
      </c>
      <c r="H34" s="39" t="n">
        <v>303161</v>
      </c>
      <c r="I34" s="40" t="n">
        <v>5.1e-05</v>
      </c>
      <c r="J34" s="41" t="n">
        <v>0.72</v>
      </c>
    </row>
    <row r="35">
      <c r="A35" s="34" t="n">
        <v>11.3</v>
      </c>
      <c r="B35" s="35" t="n">
        <v>0</v>
      </c>
      <c r="C35" s="36" t="n">
        <v>0</v>
      </c>
      <c r="D35" s="37" t="n">
        <v>1</v>
      </c>
      <c r="E35" s="35" t="n">
        <v>47050</v>
      </c>
      <c r="F35" s="36" t="n">
        <v>9.5e-07</v>
      </c>
      <c r="G35" s="37" t="n">
        <v>0.99</v>
      </c>
      <c r="H35" s="35" t="n">
        <v>325531</v>
      </c>
      <c r="I35" s="36" t="n">
        <v>5.5e-05</v>
      </c>
      <c r="J35" s="37" t="n">
        <v>0.7</v>
      </c>
    </row>
    <row r="36">
      <c r="A36" s="38" t="n">
        <v>11.5</v>
      </c>
      <c r="B36" s="39" t="n">
        <v>0</v>
      </c>
      <c r="C36" s="40" t="n">
        <v>0</v>
      </c>
      <c r="D36" s="41" t="n">
        <v>1</v>
      </c>
      <c r="E36" s="39" t="n">
        <v>49356</v>
      </c>
      <c r="F36" s="40" t="n">
        <v>1e-05</v>
      </c>
      <c r="G36" s="41" t="n">
        <v>0.89</v>
      </c>
      <c r="H36" s="39" t="n">
        <v>280944</v>
      </c>
      <c r="I36" s="40" t="n">
        <v>4.7e-05</v>
      </c>
      <c r="J36" s="41" t="n">
        <v>0.74</v>
      </c>
    </row>
    <row r="37">
      <c r="A37" s="34" t="n">
        <v>12.5</v>
      </c>
      <c r="B37" s="35" t="n">
        <v>1425</v>
      </c>
      <c r="C37" s="36" t="n">
        <v>2.7e-07</v>
      </c>
      <c r="D37" s="37" t="n">
        <v>0.97</v>
      </c>
      <c r="E37" s="35" t="n">
        <v>45259</v>
      </c>
      <c r="F37" s="36" t="n">
        <v>8.899999999999999e-06</v>
      </c>
      <c r="G37" s="37" t="n">
        <v>0.9</v>
      </c>
      <c r="H37" s="35" t="n">
        <v>343193</v>
      </c>
      <c r="I37" s="36" t="n">
        <v>5.8e-05</v>
      </c>
      <c r="J37" s="37" t="n">
        <v>0.6899999999999999</v>
      </c>
    </row>
    <row r="38">
      <c r="A38" s="38" t="n">
        <v>13.4</v>
      </c>
      <c r="B38" s="39" t="n">
        <v>1851</v>
      </c>
      <c r="C38" s="40" t="n">
        <v>3.6e-07</v>
      </c>
      <c r="D38" s="41" t="n">
        <v>0.96</v>
      </c>
      <c r="E38" s="39" t="n">
        <v>46738</v>
      </c>
      <c r="F38" s="40" t="n">
        <v>9.500000000000001e-06</v>
      </c>
      <c r="G38" s="41" t="n">
        <v>0.9</v>
      </c>
      <c r="H38" s="39" t="n">
        <v>382136</v>
      </c>
      <c r="I38" s="40" t="n">
        <v>6.4e-05</v>
      </c>
      <c r="J38" s="41" t="n">
        <v>0.65</v>
      </c>
    </row>
    <row r="39">
      <c r="A39" s="34" t="n">
        <v>13.6</v>
      </c>
      <c r="B39" s="35" t="n">
        <v>0</v>
      </c>
      <c r="C39" s="36" t="n">
        <v>0</v>
      </c>
      <c r="D39" s="37" t="n">
        <v>1</v>
      </c>
      <c r="E39" s="35" t="n">
        <v>49352</v>
      </c>
      <c r="F39" s="36" t="n">
        <v>1e-05</v>
      </c>
      <c r="G39" s="37" t="n">
        <v>0.89</v>
      </c>
      <c r="H39" s="35" t="n">
        <v>311113</v>
      </c>
      <c r="I39" s="36" t="n">
        <v>5.2e-05</v>
      </c>
      <c r="J39" s="37" t="n">
        <v>0.71</v>
      </c>
    </row>
    <row r="40">
      <c r="A40" s="38" t="n">
        <v>14.5</v>
      </c>
      <c r="B40" s="39" t="n">
        <v>0</v>
      </c>
      <c r="C40" s="40" t="n">
        <v>0</v>
      </c>
      <c r="D40" s="41" t="n">
        <v>1</v>
      </c>
      <c r="E40" s="39" t="n">
        <v>45535</v>
      </c>
      <c r="F40" s="40" t="n">
        <v>9e-06</v>
      </c>
      <c r="G40" s="41" t="n">
        <v>0.9</v>
      </c>
      <c r="H40" s="39" t="n">
        <v>327140</v>
      </c>
      <c r="I40" s="40" t="n">
        <v>5.5e-05</v>
      </c>
      <c r="J40" s="41" t="n">
        <v>0.7</v>
      </c>
    </row>
    <row r="41">
      <c r="A41" s="34" t="n">
        <v>15.5</v>
      </c>
      <c r="B41" s="35" t="n">
        <v>1475</v>
      </c>
      <c r="C41" s="36" t="n">
        <v>2.9e-07</v>
      </c>
      <c r="D41" s="37" t="n">
        <v>0.97</v>
      </c>
      <c r="E41" s="35" t="n">
        <v>46271</v>
      </c>
      <c r="F41" s="36" t="n">
        <v>9.4e-06</v>
      </c>
      <c r="G41" s="37" t="n">
        <v>0.9</v>
      </c>
      <c r="H41" s="35" t="n">
        <v>392796</v>
      </c>
      <c r="I41" s="36" t="n">
        <v>6.600000000000001e-05</v>
      </c>
      <c r="J41" s="37" t="n">
        <v>0.64</v>
      </c>
    </row>
    <row r="42">
      <c r="A42" s="38" t="n">
        <v>15.7</v>
      </c>
      <c r="B42" s="39" t="n">
        <v>1767</v>
      </c>
      <c r="C42" s="40" t="n">
        <v>3.5e-07</v>
      </c>
      <c r="D42" s="41" t="n">
        <v>0.96</v>
      </c>
      <c r="E42" s="39" t="n">
        <v>47719</v>
      </c>
      <c r="F42" s="40" t="n">
        <v>9.7e-06</v>
      </c>
      <c r="G42" s="41" t="n">
        <v>0.89</v>
      </c>
      <c r="H42" s="39" t="n">
        <v>325437</v>
      </c>
      <c r="I42" s="40" t="n">
        <v>5.5e-05</v>
      </c>
      <c r="J42" s="41" t="n">
        <v>0.7</v>
      </c>
    </row>
    <row r="43">
      <c r="A43" s="31" t="inlineStr">
        <is>
          <t>Average</t>
        </is>
      </c>
      <c r="B43" s="31" t="n"/>
      <c r="C43" s="31" t="n"/>
      <c r="D43" s="42">
        <f>AVERAGE(D19:D42)</f>
        <v/>
      </c>
      <c r="E43" s="31" t="n"/>
      <c r="F43" s="31" t="n"/>
      <c r="G43" s="42">
        <f>AVERAGE(G19:G42)</f>
        <v/>
      </c>
      <c r="H43" s="31" t="n"/>
      <c r="I43" s="31" t="n"/>
      <c r="J43" s="42">
        <f>AVERAGE(J19:J42)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45" customWidth="1" min="4" max="4"/>
    <col width="20" customWidth="1" min="5" max="5"/>
    <col width="19" customWidth="1" min="6" max="6"/>
    <col width="54" customWidth="1" min="7" max="7"/>
  </cols>
  <sheetData>
    <row r="1">
      <c r="A1" s="1" t="inlineStr">
        <is>
          <t>Project Governance, Quality Assurance &amp; Sign-Off Matrix</t>
        </is>
      </c>
    </row>
    <row r="2"/>
    <row r="3">
      <c r="A3" s="5" t="inlineStr">
        <is>
          <t>1. Quality Assurance &amp; Experimental Verification Gate</t>
        </is>
      </c>
    </row>
    <row r="4">
      <c r="A4" s="7" t="inlineStr">
        <is>
          <t>Check ID</t>
        </is>
      </c>
      <c r="B4" s="7" t="inlineStr">
        <is>
          <t>Verification Item</t>
        </is>
      </c>
      <c r="C4" s="7" t="inlineStr">
        <is>
          <t>Acceptance Criteria</t>
        </is>
      </c>
      <c r="D4" s="7" t="inlineStr">
        <is>
          <t>Method / Tool Used</t>
        </is>
      </c>
      <c r="E4" s="7" t="inlineStr">
        <is>
          <t>Pass / Fail</t>
        </is>
      </c>
      <c r="F4" s="7" t="inlineStr">
        <is>
          <t>Verified By</t>
        </is>
      </c>
      <c r="G4" s="7" t="inlineStr">
        <is>
          <t>Date</t>
        </is>
      </c>
    </row>
    <row r="5">
      <c r="A5" s="43" t="inlineStr">
        <is>
          <t>QC-01</t>
        </is>
      </c>
      <c r="B5" s="11" t="inlineStr">
        <is>
          <t>Blank Tube Baseline Calibration</t>
        </is>
      </c>
      <c r="C5" s="11" t="inlineStr">
        <is>
          <t>H2 RF verified against blank tube RT</t>
        </is>
      </c>
      <c r="D5" s="11" t="inlineStr">
        <is>
          <t>Tab 3A_4A_Blank.xlsx</t>
        </is>
      </c>
      <c r="E5" s="10" t="inlineStr">
        <is>
          <t>PASS</t>
        </is>
      </c>
      <c r="F5" s="11" t="inlineStr">
        <is>
          <t>Sankar / Koushik</t>
        </is>
      </c>
      <c r="G5" s="43" t="inlineStr">
        <is>
          <t>2026-08-27</t>
        </is>
      </c>
    </row>
    <row r="6">
      <c r="A6" s="44" t="inlineStr">
        <is>
          <t>QC-02</t>
        </is>
      </c>
      <c r="B6" s="8" t="inlineStr">
        <is>
          <t>Header FIC Calibration Check</t>
        </is>
      </c>
      <c r="C6" s="8" t="inlineStr">
        <is>
          <t>N2 header fudge factor 0.7 applied</t>
        </is>
      </c>
      <c r="D6" s="8" t="inlineStr">
        <is>
          <t>High SP Calibration Log</t>
        </is>
      </c>
      <c r="E6" s="10" t="inlineStr">
        <is>
          <t>PASS</t>
        </is>
      </c>
      <c r="F6" s="8" t="inlineStr">
        <is>
          <t>Data Analyst</t>
        </is>
      </c>
      <c r="G6" s="44" t="inlineStr">
        <is>
          <t>2026-08-27</t>
        </is>
      </c>
    </row>
    <row r="7">
      <c r="A7" s="43" t="inlineStr">
        <is>
          <t>QC-03</t>
        </is>
      </c>
      <c r="B7" s="11" t="inlineStr">
        <is>
          <t>Sub-stoichiometric O2 Control</t>
        </is>
      </c>
      <c r="C7" s="11" t="inlineStr">
        <is>
          <t>O2 conc maintained at 0.95 ratio</t>
        </is>
      </c>
      <c r="D7" s="11" t="inlineStr">
        <is>
          <t>MFC Feed Log</t>
        </is>
      </c>
      <c r="E7" s="10" t="inlineStr">
        <is>
          <t>PASS</t>
        </is>
      </c>
      <c r="F7" s="11" t="inlineStr">
        <is>
          <t>Lab Operations</t>
        </is>
      </c>
      <c r="G7" s="43" t="inlineStr">
        <is>
          <t>2026-08-28</t>
        </is>
      </c>
    </row>
    <row r="8">
      <c r="A8" s="44" t="inlineStr">
        <is>
          <t>QC-04</t>
        </is>
      </c>
      <c r="B8" s="8" t="inlineStr">
        <is>
          <t>Conversion Stability Check</t>
        </is>
      </c>
      <c r="C8" s="8" t="inlineStr">
        <is>
          <t>CO avg conversion &gt;= 95%</t>
        </is>
      </c>
      <c r="D8" s="8" t="inlineStr">
        <is>
          <t>Tab 2 Calculations Check</t>
        </is>
      </c>
      <c r="E8" s="10" t="inlineStr">
        <is>
          <t>PASS</t>
        </is>
      </c>
      <c r="F8" s="8" t="inlineStr">
        <is>
          <t>Sankar / Koushik</t>
        </is>
      </c>
      <c r="G8" s="44" t="inlineStr">
        <is>
          <t>2026-08-28</t>
        </is>
      </c>
    </row>
    <row r="9"/>
    <row r="10"/>
    <row r="11">
      <c r="A11" s="5" t="inlineStr">
        <is>
          <t>2. Project Authorization &amp; Management Gate Sign-Off</t>
        </is>
      </c>
    </row>
    <row r="12">
      <c r="A12" s="7" t="inlineStr">
        <is>
          <t>Governance Role</t>
        </is>
      </c>
      <c r="B12" s="7" t="inlineStr">
        <is>
          <t>Name &amp; Title</t>
        </is>
      </c>
      <c r="C12" s="7" t="inlineStr">
        <is>
          <t>Sign-Off Level</t>
        </is>
      </c>
      <c r="D12" s="7" t="inlineStr">
        <is>
          <t>Authorization Scope</t>
        </is>
      </c>
      <c r="E12" s="7" t="inlineStr">
        <is>
          <t>Approval Status</t>
        </is>
      </c>
      <c r="F12" s="7" t="inlineStr">
        <is>
          <t>Date Approved</t>
        </is>
      </c>
      <c r="G12" s="7" t="inlineStr">
        <is>
          <t>Comments / Risk Notes</t>
        </is>
      </c>
    </row>
    <row r="13">
      <c r="A13" s="11" t="inlineStr">
        <is>
          <t>Experimental Lead</t>
        </is>
      </c>
      <c r="B13" s="11" t="inlineStr">
        <is>
          <t>Sankar</t>
        </is>
      </c>
      <c r="C13" s="43" t="inlineStr">
        <is>
          <t>Level 1 (Data Integrity)</t>
        </is>
      </c>
      <c r="D13" s="11" t="inlineStr">
        <is>
          <t>Validates experimental run accuracy and raw calculations</t>
        </is>
      </c>
      <c r="E13" s="10" t="inlineStr">
        <is>
          <t>APPROVED</t>
        </is>
      </c>
      <c r="F13" s="43" t="inlineStr">
        <is>
          <t>2026-08-28</t>
        </is>
      </c>
      <c r="G13" s="11" t="inlineStr">
        <is>
          <t>Run Aug-4C completed successfully with 98% CO conv.</t>
        </is>
      </c>
    </row>
    <row r="14">
      <c r="A14" s="11" t="inlineStr">
        <is>
          <t>Technical Assurance</t>
        </is>
      </c>
      <c r="B14" s="11" t="inlineStr">
        <is>
          <t>Prasad</t>
        </is>
      </c>
      <c r="C14" s="43" t="inlineStr">
        <is>
          <t>Level 2 (Technical Assurance)</t>
        </is>
      </c>
      <c r="D14" s="11" t="inlineStr">
        <is>
          <t>Approves technical methodology and risk assessment</t>
        </is>
      </c>
      <c r="E14" s="10" t="inlineStr">
        <is>
          <t>APPROVED</t>
        </is>
      </c>
      <c r="F14" s="43" t="inlineStr">
        <is>
          <t>2026-08-29</t>
        </is>
      </c>
      <c r="G14" s="11" t="inlineStr">
        <is>
          <t>Sub-stoichiometric O2 ratio verified. Target met.</t>
        </is>
      </c>
    </row>
    <row r="15">
      <c r="A15" s="11" t="inlineStr">
        <is>
          <t>Project Lead</t>
        </is>
      </c>
      <c r="B15" s="11" t="inlineStr">
        <is>
          <t>Harish</t>
        </is>
      </c>
      <c r="C15" s="43" t="inlineStr">
        <is>
          <t>Level 3 (Management Gate)</t>
        </is>
      </c>
      <c r="D15" s="11" t="inlineStr">
        <is>
          <t>Authorizes reporting to external stakeholders</t>
        </is>
      </c>
      <c r="E15" s="45" t="inlineStr">
        <is>
          <t>PENDING</t>
        </is>
      </c>
      <c r="F15" s="43" t="inlineStr"/>
      <c r="G15" s="11" t="inlineStr">
        <is>
          <t>Scheduled for final gate review meeting.</t>
        </is>
      </c>
    </row>
    <row r="16"/>
    <row r="17"/>
    <row r="18">
      <c r="A18" s="5" t="inlineStr">
        <is>
          <t>3. Detailed Governance Risk Register &amp; Technical Constraints</t>
        </is>
      </c>
    </row>
    <row r="19">
      <c r="A19" s="46" t="inlineStr">
        <is>
          <t>Category</t>
        </is>
      </c>
      <c r="B19" s="46" t="inlineStr">
        <is>
          <t>Item / Description</t>
        </is>
      </c>
      <c r="C19" s="46" t="inlineStr">
        <is>
          <t>Risk / Impact Level</t>
        </is>
      </c>
      <c r="D19" s="46" t="inlineStr">
        <is>
          <t>Boundary / Constraint</t>
        </is>
      </c>
      <c r="E19" s="46" t="inlineStr">
        <is>
          <t>Mitigation / Control Standard</t>
        </is>
      </c>
    </row>
    <row r="20">
      <c r="A20" s="44" t="inlineStr">
        <is>
          <t>Assumption</t>
        </is>
      </c>
      <c r="B20" s="11" t="inlineStr">
        <is>
          <t>N2 Fudge Factor Calibration</t>
        </is>
      </c>
      <c r="C20" s="47" t="inlineStr">
        <is>
          <t>Medium</t>
        </is>
      </c>
      <c r="D20" s="11" t="inlineStr">
        <is>
          <t>N2-header FIC factor set at 0.7</t>
        </is>
      </c>
      <c r="E20" s="11" t="inlineStr">
        <is>
          <t>To be confirmed by physical span calibration.</t>
        </is>
      </c>
    </row>
    <row r="21">
      <c r="A21" s="44" t="inlineStr">
        <is>
          <t>Assumption</t>
        </is>
      </c>
      <c r="B21" s="11" t="inlineStr">
        <is>
          <t>H2 Calibration Factor Basis</t>
        </is>
      </c>
      <c r="C21" s="44" t="inlineStr">
        <is>
          <t>Low</t>
        </is>
      </c>
      <c r="D21" s="11" t="inlineStr">
        <is>
          <t>H2 RF (1091380) taken from room temp blank tube</t>
        </is>
      </c>
      <c r="E21" s="11" t="inlineStr">
        <is>
          <t>Reference tab '3A_4A_Blank.xlsx' updated prior to run.</t>
        </is>
      </c>
    </row>
    <row r="22">
      <c r="A22" s="43" t="inlineStr">
        <is>
          <t>Caution</t>
        </is>
      </c>
      <c r="B22" s="11" t="inlineStr">
        <is>
          <t>Sub-stoichiometric O2 Control</t>
        </is>
      </c>
      <c r="C22" s="48" t="inlineStr">
        <is>
          <t>High</t>
        </is>
      </c>
      <c r="D22" s="11" t="inlineStr">
        <is>
          <t>O2 ratio fixed at 0.95 sub-stoichiometric concentration</t>
        </is>
      </c>
      <c r="E22" s="11" t="inlineStr">
        <is>
          <t>Continuous GC channel monitoring to prevent unreacted CO slip.</t>
        </is>
      </c>
    </row>
    <row r="23">
      <c r="A23" s="43" t="inlineStr">
        <is>
          <t>Caution</t>
        </is>
      </c>
      <c r="B23" s="11" t="inlineStr">
        <is>
          <t>Hydrogen Handling &amp; LEL Safety</t>
        </is>
      </c>
      <c r="C23" s="48" t="inlineStr">
        <is>
          <t>High</t>
        </is>
      </c>
      <c r="D23" s="11" t="inlineStr">
        <is>
          <t>Compression &amp; ventilation safety limits at 24 barg</t>
        </is>
      </c>
      <c r="E23" s="11" t="inlineStr">
        <is>
          <t>Continuous LEL calibration &amp; air change rate (ACH) monitoring.</t>
        </is>
      </c>
    </row>
    <row r="24">
      <c r="A24" s="43" t="inlineStr">
        <is>
          <t>Limitation</t>
        </is>
      </c>
      <c r="B24" s="11" t="inlineStr">
        <is>
          <t>Scale-Up Boundary</t>
        </is>
      </c>
      <c r="C24" s="48" t="inlineStr">
        <is>
          <t>High</t>
        </is>
      </c>
      <c r="D24" s="11" t="inlineStr">
        <is>
          <t>Bench-scale laboratory reactor (4 mL catalyst load)</t>
        </is>
      </c>
      <c r="E24" s="11" t="inlineStr">
        <is>
          <t>Yields cannot be directly applied to commercial scale without CFD/kinetic modeling.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2026-09-01T15:04:44Z</dcterms:created>
  <dcterms:modified xmlns:dcterms="http://purl.org/dc/terms/" xmlns:xsi="http://www.w3.org/2001/XMLSchema-instance" xsi:type="dcterms:W3CDTF">2026-09-01T15:04:44Z</dcterms:modified>
</cp:coreProperties>
</file>