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nka\Desktop\Untitled Export\"/>
    </mc:Choice>
  </mc:AlternateContent>
  <xr:revisionPtr revIDLastSave="0" documentId="13_ncr:1_{9117FCB6-8839-4D01-B766-EFA85CA0AFE4}" xr6:coauthVersionLast="47" xr6:coauthVersionMax="47" xr10:uidLastSave="{00000000-0000-0000-0000-000000000000}"/>
  <bookViews>
    <workbookView xWindow="-120" yWindow="-120" windowWidth="29040" windowHeight="15840" activeTab="3" xr2:uid="{6341114F-B212-4A1A-8C93-67F6ECE0F205}"/>
  </bookViews>
  <sheets>
    <sheet name="flammability_chart" sheetId="1" r:id="rId1"/>
    <sheet name="ISO10156 Method" sheetId="2" r:id="rId2"/>
    <sheet name="Venti_LEL" sheetId="3" r:id="rId3"/>
    <sheet name="LF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4" l="1"/>
  <c r="S10" i="4"/>
  <c r="N15" i="4"/>
  <c r="I24" i="4"/>
  <c r="I23" i="4"/>
  <c r="I22" i="4"/>
  <c r="I11" i="4"/>
  <c r="I10" i="4"/>
  <c r="I9" i="4"/>
  <c r="C52" i="3"/>
  <c r="C51" i="3"/>
  <c r="C50" i="3"/>
  <c r="C49" i="3"/>
  <c r="D48" i="3"/>
  <c r="C47" i="3"/>
  <c r="G45" i="3"/>
  <c r="E45" i="3"/>
  <c r="C45" i="3"/>
  <c r="E42" i="3"/>
  <c r="C44" i="3"/>
  <c r="M14" i="3"/>
  <c r="L13" i="3"/>
  <c r="Q10" i="3"/>
  <c r="P10" i="3"/>
  <c r="O10" i="3"/>
  <c r="M10" i="3"/>
  <c r="M7" i="3"/>
  <c r="L4" i="3"/>
  <c r="D23" i="3"/>
  <c r="C23" i="3"/>
  <c r="F23" i="3" s="1"/>
  <c r="D11" i="3"/>
  <c r="I4" i="3"/>
  <c r="H4" i="3"/>
  <c r="D4" i="3"/>
  <c r="G4" i="3"/>
  <c r="E5" i="3"/>
  <c r="Q21" i="2"/>
  <c r="P21" i="2"/>
  <c r="S5" i="2"/>
  <c r="R5" i="2"/>
  <c r="Q7" i="2"/>
  <c r="Q6" i="2"/>
  <c r="Q5" i="2"/>
  <c r="P6" i="2"/>
  <c r="P7" i="2"/>
  <c r="E4" i="2"/>
  <c r="F4" i="2" s="1"/>
  <c r="X41" i="1"/>
  <c r="W36" i="1"/>
  <c r="W41" i="1"/>
  <c r="R25" i="1"/>
  <c r="X40" i="1"/>
  <c r="W40" i="1"/>
  <c r="W39" i="1"/>
  <c r="X39" i="1"/>
  <c r="X36" i="1"/>
  <c r="X37" i="1"/>
  <c r="W37" i="1"/>
  <c r="W35" i="1"/>
  <c r="W34" i="1"/>
  <c r="F20" i="1"/>
  <c r="I20" i="1" s="1"/>
  <c r="F19" i="1"/>
  <c r="I19" i="1" s="1"/>
  <c r="F18" i="1"/>
  <c r="H18" i="1" s="1"/>
  <c r="F17" i="1"/>
  <c r="G17" i="1" s="1"/>
  <c r="I17" i="1" l="1"/>
  <c r="K17" i="1" s="1"/>
  <c r="H17" i="1"/>
  <c r="G20" i="1"/>
  <c r="H20" i="1"/>
  <c r="I18" i="1"/>
  <c r="L17" i="1"/>
  <c r="K20" i="1"/>
  <c r="G19" i="1"/>
  <c r="G18" i="1"/>
  <c r="H19" i="1"/>
  <c r="F16" i="1"/>
  <c r="H16" i="1" s="1"/>
  <c r="F15" i="1"/>
  <c r="G15" i="1" s="1"/>
  <c r="F14" i="1"/>
  <c r="I14" i="1" s="1"/>
  <c r="F13" i="1"/>
  <c r="I13" i="1" s="1"/>
  <c r="J17" i="1" l="1"/>
  <c r="J20" i="1"/>
  <c r="L20" i="1"/>
  <c r="K18" i="1"/>
  <c r="L19" i="1"/>
  <c r="J19" i="1"/>
  <c r="L18" i="1"/>
  <c r="J18" i="1"/>
  <c r="K19" i="1"/>
  <c r="H14" i="1"/>
  <c r="I16" i="1"/>
  <c r="K16" i="1" s="1"/>
  <c r="I15" i="1"/>
  <c r="K15" i="1" s="1"/>
  <c r="G14" i="1"/>
  <c r="H15" i="1"/>
  <c r="L15" i="1"/>
  <c r="G13" i="1"/>
  <c r="H13" i="1"/>
  <c r="G16" i="1"/>
  <c r="J14" i="1" l="1"/>
  <c r="J15" i="1"/>
  <c r="L14" i="1"/>
  <c r="K14" i="1"/>
  <c r="J13" i="1"/>
  <c r="L13" i="1"/>
  <c r="L16" i="1"/>
  <c r="J16" i="1"/>
  <c r="K13" i="1"/>
</calcChain>
</file>

<file path=xl/sharedStrings.xml><?xml version="1.0" encoding="utf-8"?>
<sst xmlns="http://schemas.openxmlformats.org/spreadsheetml/2006/main" count="247" uniqueCount="198">
  <si>
    <t>Raw Data</t>
  </si>
  <si>
    <t>Transformed Data</t>
  </si>
  <si>
    <t>Normalized to 100</t>
  </si>
  <si>
    <t>X</t>
  </si>
  <si>
    <t>Y</t>
  </si>
  <si>
    <t>SUM</t>
  </si>
  <si>
    <t>TOP</t>
  </si>
  <si>
    <t>LEFT</t>
  </si>
  <si>
    <t>RIGHT</t>
  </si>
  <si>
    <t>=RIGHT+(TOP/2)</t>
  </si>
  <si>
    <t>=TOP</t>
  </si>
  <si>
    <t>REFERENCE LINES</t>
  </si>
  <si>
    <t>Top</t>
  </si>
  <si>
    <t>Left</t>
  </si>
  <si>
    <t>Right</t>
  </si>
  <si>
    <t>A</t>
  </si>
  <si>
    <t>B</t>
  </si>
  <si>
    <t>C</t>
  </si>
  <si>
    <t>D</t>
  </si>
  <si>
    <t>CALCULATED</t>
  </si>
  <si>
    <t>ENTER DATA HERE</t>
  </si>
  <si>
    <t>Sample
ID</t>
  </si>
  <si>
    <t>Triangle</t>
  </si>
  <si>
    <t>CORNER LABELS</t>
  </si>
  <si>
    <t>Note: X-Y axes are scaled from -10 to 110</t>
  </si>
  <si>
    <t>F</t>
  </si>
  <si>
    <t>Zone</t>
  </si>
  <si>
    <t>Upper</t>
  </si>
  <si>
    <t>Lower</t>
  </si>
  <si>
    <t>E</t>
  </si>
  <si>
    <t>G</t>
  </si>
  <si>
    <t>H</t>
  </si>
  <si>
    <t>Ternary Plot Instructions</t>
  </si>
  <si>
    <t>Enter data in columns A-E (Yellow)</t>
  </si>
  <si>
    <t xml:space="preserve">Enter corner labels in table to the right </t>
  </si>
  <si>
    <t>Gray and green shaded cells are calculated</t>
  </si>
  <si>
    <t>Fuel</t>
  </si>
  <si>
    <t>O2</t>
  </si>
  <si>
    <t>N2</t>
  </si>
  <si>
    <t>airLine</t>
  </si>
  <si>
    <r>
      <t>C</t>
    </r>
    <r>
      <rPr>
        <vertAlign val="subscript"/>
        <sz val="11"/>
        <color theme="1"/>
        <rFont val="Calibri"/>
        <family val="2"/>
        <scheme val="minor"/>
      </rPr>
      <t>st</t>
    </r>
  </si>
  <si>
    <t>Cst(%)</t>
  </si>
  <si>
    <t>Cst Line</t>
  </si>
  <si>
    <t>LFL in air</t>
  </si>
  <si>
    <t>UFL in air</t>
  </si>
  <si>
    <t>LFL in O2</t>
  </si>
  <si>
    <t>UFL in O2</t>
  </si>
  <si>
    <t>MOC</t>
  </si>
  <si>
    <t xml:space="preserve">  </t>
  </si>
  <si>
    <t>H2 [vol%]</t>
  </si>
  <si>
    <t>CO2 [vol%]</t>
  </si>
  <si>
    <t>bal</t>
  </si>
  <si>
    <t>Nitrogen equivalency</t>
  </si>
  <si>
    <t>Gas</t>
  </si>
  <si>
    <t>CO2</t>
  </si>
  <si>
    <t>He</t>
  </si>
  <si>
    <t>Ar</t>
  </si>
  <si>
    <t>Ne</t>
  </si>
  <si>
    <t>Kr</t>
  </si>
  <si>
    <t>Xe</t>
  </si>
  <si>
    <t>SO2</t>
  </si>
  <si>
    <t>SF6</t>
  </si>
  <si>
    <t>CF4</t>
  </si>
  <si>
    <t>Ki</t>
  </si>
  <si>
    <r>
      <t>K</t>
    </r>
    <r>
      <rPr>
        <vertAlign val="subscript"/>
        <sz val="11"/>
        <color theme="1"/>
        <rFont val="Calibri"/>
        <family val="2"/>
        <scheme val="minor"/>
      </rPr>
      <t>i</t>
    </r>
  </si>
  <si>
    <t>N2 equivalent of CO2[vol%]</t>
  </si>
  <si>
    <t>Normalized hydrogen concentration [vol%]</t>
  </si>
  <si>
    <t>H2</t>
  </si>
  <si>
    <t>CO</t>
  </si>
  <si>
    <t>Methane</t>
  </si>
  <si>
    <t>Ethane</t>
  </si>
  <si>
    <t>Butanes</t>
  </si>
  <si>
    <t>Ethylene</t>
  </si>
  <si>
    <t>Propane</t>
  </si>
  <si>
    <t>Propene’s</t>
  </si>
  <si>
    <t>Acetylene</t>
  </si>
  <si>
    <t>n-Hexane</t>
  </si>
  <si>
    <t>Tci</t>
  </si>
  <si>
    <t>Inference</t>
  </si>
  <si>
    <t>since Tci for H2 (5.7) &gt; 4.77, the mixture is non flammable</t>
  </si>
  <si>
    <t>CH4</t>
  </si>
  <si>
    <t>vol%</t>
  </si>
  <si>
    <t>N2 equivalent</t>
  </si>
  <si>
    <t>-</t>
  </si>
  <si>
    <t>For multiple diluent</t>
  </si>
  <si>
    <r>
      <t>1/MXC</t>
    </r>
    <r>
      <rPr>
        <b/>
        <vertAlign val="subscript"/>
        <sz val="11"/>
        <color theme="1"/>
        <rFont val="Calibri"/>
        <family val="2"/>
        <scheme val="minor"/>
      </rPr>
      <t>mixture</t>
    </r>
  </si>
  <si>
    <t>% diluent</t>
  </si>
  <si>
    <r>
      <t>MXC</t>
    </r>
    <r>
      <rPr>
        <b/>
        <vertAlign val="subscript"/>
        <sz val="11"/>
        <color theme="1"/>
        <rFont val="Calibri"/>
        <family val="2"/>
        <scheme val="minor"/>
      </rPr>
      <t>mixture</t>
    </r>
    <r>
      <rPr>
        <b/>
        <sz val="11"/>
        <color theme="1"/>
        <rFont val="Calibri"/>
        <family val="2"/>
        <scheme val="minor"/>
      </rPr>
      <t>[%]</t>
    </r>
  </si>
  <si>
    <t>Since the diluent is present(11.39) less than fuel concentration(16.4), the mixture is non-flammable</t>
  </si>
  <si>
    <t>For multiple fuel</t>
  </si>
  <si>
    <t>C3H8</t>
  </si>
  <si>
    <t>Since the below inequality satishfied, the mixture is flammable</t>
  </si>
  <si>
    <t>Tci is the maximum concentration of that gas that is "safe" in nitrogen.</t>
  </si>
  <si>
    <t>the amount of inerting gas you need to stop a fire</t>
  </si>
  <si>
    <t>the amount of inerting gas available in the mixture</t>
  </si>
  <si>
    <t>(100/Tci)-1</t>
  </si>
  <si>
    <t>Dilution Factor</t>
  </si>
  <si>
    <t>at what concentration that mixture becomes flammable when it leaks into the air.</t>
  </si>
  <si>
    <t>Can be use for 
- Set LEL Detectors
-Ventilation Design
-Safe Handling of Fuel-Inert Blends</t>
  </si>
  <si>
    <t>LEL Detectors Limit set</t>
  </si>
  <si>
    <t>inert fraction</t>
  </si>
  <si>
    <t>1/MXCmixture</t>
  </si>
  <si>
    <t>MXCmixture</t>
  </si>
  <si>
    <t>20% LEL Alarm</t>
  </si>
  <si>
    <t>response factor</t>
  </si>
  <si>
    <t>in lab we use 50% LEL CH4 cylinder to calibrate 20% LEL
 100% CH4 LEL = 5% by volume, so we use 2.5 vol% CH4. 
H2 100% LEL=4 vol%, 20% LEL=0.8 vol% H2</t>
  </si>
  <si>
    <t>Calibrating your LEL detector with the "50-for-20" rule (using Methane to mimic a heavy hydrocarbon) significantly changes how it perceives Hydrogen (H2). In a laboratory environment focused on high-pressure gas safety and H2 handling, this cross-calibration acts as a massive "sensitivity booster."</t>
  </si>
  <si>
    <t>In standard LEL sensors, Hydrogen typically has a Response Factor (RF) of approximately 0.8 to 0.9 relative to Methane. This means H2 is actually "easier" for the sensor to detect than Methane. If a sensor is calibrated 1:1 for Methane, it will already naturally over-read H2.</t>
  </si>
  <si>
    <t>Displayed % LEL</t>
  </si>
  <si>
    <t>H2 leak vol%</t>
  </si>
  <si>
    <t>H2 LEL%</t>
  </si>
  <si>
    <t>calibration factor</t>
  </si>
  <si>
    <t>Calibration factor</t>
  </si>
  <si>
    <t>The sensor will read</t>
  </si>
  <si>
    <t>Extreme Early Warning. Because the sensor is "tuned up" to find heavy naphtha/toluene fractions, it becomes hyper-sensitive to H2. It will go into a 20% LEL alarm when the actual hydrogen concentration is only about 1.2% or 1.3% LEL. This is an excellent "fail-safe" for high-pressure H2 testing.
The detector will no longer give you a scientifically accurate "True LEL" for H2. It will always over-report the danger. In a safety context, this is usually acceptable, but it can lead to "nuisance alarms" where the system shuts down even though the H2 levels are still technically well below the explosive limit.</t>
  </si>
  <si>
    <t>Since you deal with hydrogen embrittlement and high-pressure boosters, detecting a leak at the earliest possible physical moment is more important than knowing the exact concentration.</t>
  </si>
  <si>
    <t>Ventilation Design</t>
  </si>
  <si>
    <t>industry practice to stay below</t>
  </si>
  <si>
    <t>ventilation must ensure the concentration of the leaked gas blend never exceeds of the compartment volume</t>
  </si>
  <si>
    <t>The gas leak rate</t>
  </si>
  <si>
    <t>G (SCCM)</t>
  </si>
  <si>
    <t>The Mixing Factor</t>
  </si>
  <si>
    <t>The resulting required air flow</t>
  </si>
  <si>
    <t>k</t>
  </si>
  <si>
    <r>
      <t>Q</t>
    </r>
    <r>
      <rPr>
        <vertAlign val="subscript"/>
        <sz val="11"/>
        <color theme="1"/>
        <rFont val="Calibri"/>
        <family val="2"/>
        <scheme val="minor"/>
      </rPr>
      <t>air</t>
    </r>
    <r>
      <rPr>
        <sz val="11"/>
        <color theme="1"/>
        <rFont val="Calibri"/>
        <family val="2"/>
        <scheme val="minor"/>
      </rPr>
      <t xml:space="preserve"> (SCCM)</t>
    </r>
  </si>
  <si>
    <t>target safe concentration (as a decimal)</t>
  </si>
  <si>
    <r>
      <t>C</t>
    </r>
    <r>
      <rPr>
        <vertAlign val="subscript"/>
        <sz val="11"/>
        <color theme="1"/>
        <rFont val="Calibri"/>
        <family val="2"/>
        <scheme val="minor"/>
      </rPr>
      <t>limit</t>
    </r>
    <r>
      <rPr>
        <sz val="11"/>
        <color theme="1"/>
        <rFont val="Calibri"/>
        <family val="2"/>
        <scheme val="minor"/>
      </rPr>
      <t xml:space="preserve"> (20% LEL of H2)</t>
    </r>
  </si>
  <si>
    <t>Qair (lit/min)</t>
  </si>
  <si>
    <t>Qair (m3/h)</t>
  </si>
  <si>
    <t xml:space="preserve">k = 1: Perfect, instantaneous mixing (rarely happens).
k = 2 to 3: Good mixing (active mechanical ventilation).
k = 5 to 10: Poor mixing (natural ventilation or stagnant corners).
Check the area of your enclosure. Assuming 100 m3, then 4 vol% H2(100%LEL) means 4 m3 H2 and 96 m3 Air inside the enclosure which is explosive. then decide the dilution you need to make it non explosive and calculate ventilation rate. </t>
  </si>
  <si>
    <t>Air Changes per Hour (ACH)</t>
  </si>
  <si>
    <t>Enclosure size(m3)</t>
  </si>
  <si>
    <t>needs</t>
  </si>
  <si>
    <t>hours to change the air in the full enclosure</t>
  </si>
  <si>
    <t>Industry Standard Benchmarks for ACH</t>
  </si>
  <si>
    <t>Standard Laboratory</t>
  </si>
  <si>
    <t>Chemical Storage/Process Areas</t>
  </si>
  <si>
    <t>High-Hazard/Fume Hood Areas</t>
  </si>
  <si>
    <t>4-8 ACH</t>
  </si>
  <si>
    <t>8-12 ACH</t>
  </si>
  <si>
    <t>12-15+ ACH</t>
  </si>
  <si>
    <t>The "Pocket" Hazard: Although 187  LPM of fresh air technically dilutes a 0.5 lit/min leak to safe levels globally, H2 is extremely buoyant. In a 100 m3 enclosure, H2 will not distribute evenly; it will rise and collect in "pockets" at the highest points (e.g., between ceiling joists or above light fixtures).</t>
  </si>
  <si>
    <t>To calculate the ventilation rate required for a 100 m3 enclosure during a detector failure, we must ensure the steady-state concentration of Hydrogen never reaches the Lower Explosive Limit (LEL).</t>
  </si>
  <si>
    <t>Leak rate</t>
  </si>
  <si>
    <t>L/h</t>
  </si>
  <si>
    <t>H2 LEL[100%]</t>
  </si>
  <si>
    <t>20% LEL</t>
  </si>
  <si>
    <t>SCCM</t>
  </si>
  <si>
    <t>G (Leak Rate)</t>
  </si>
  <si>
    <t>k = Mixing Factor</t>
  </si>
  <si>
    <r>
      <t>C</t>
    </r>
    <r>
      <rPr>
        <vertAlign val="subscript"/>
        <sz val="11"/>
        <color theme="1"/>
        <rFont val="Calibri"/>
        <family val="2"/>
        <scheme val="minor"/>
      </rPr>
      <t>limit</t>
    </r>
    <r>
      <rPr>
        <sz val="11"/>
        <color theme="1"/>
        <rFont val="Calibri"/>
        <family val="2"/>
        <scheme val="minor"/>
      </rPr>
      <t xml:space="preserve"> (Safety Target)</t>
    </r>
  </si>
  <si>
    <t>The Steady-State Dilution</t>
  </si>
  <si>
    <t>Q air</t>
  </si>
  <si>
    <t>LPM</t>
  </si>
  <si>
    <t>Air Changes per Hour</t>
  </si>
  <si>
    <t>Volume of enclosure</t>
  </si>
  <si>
    <t>m3</t>
  </si>
  <si>
    <t>m3/min</t>
  </si>
  <si>
    <t>ACH</t>
  </si>
  <si>
    <t>enclosure needs 160 hours to change the air in the enclosure just once</t>
  </si>
  <si>
    <t>purge time</t>
  </si>
  <si>
    <t>Cinitial</t>
  </si>
  <si>
    <t>Cfinal</t>
  </si>
  <si>
    <t>t(purge time)</t>
  </si>
  <si>
    <t>standard industrial practice</t>
  </si>
  <si>
    <t>h</t>
  </si>
  <si>
    <t>min, if ACH = 6</t>
  </si>
  <si>
    <t>Assumptions</t>
  </si>
  <si>
    <t>limiting adiabatic flame temperature of 1600 K</t>
  </si>
  <si>
    <t xml:space="preserve">propane in a mixture of 
21 % oxygen + 79 % Nitrogen, air
</t>
  </si>
  <si>
    <t>the energy released by the combustion of the fuel is exactly equal to the energy required to raise the temperature of the entire mixture (fuel + air) from the initial state to the threshold flame temperature</t>
  </si>
  <si>
    <t>For a fuel-lean mixture (which defines the LFL), the mole fraction of propane is very small. Therefore, we can assume the heat capacity of the total mixture is approximately equal to the heat capacity of air.</t>
  </si>
  <si>
    <t>ΔHc (propane)</t>
  </si>
  <si>
    <t>kJ/mol</t>
  </si>
  <si>
    <r>
      <t>T</t>
    </r>
    <r>
      <rPr>
        <vertAlign val="subscript"/>
        <sz val="11"/>
        <color theme="1"/>
        <rFont val="Calibri"/>
        <family val="2"/>
        <scheme val="minor"/>
      </rPr>
      <t>ad,limit</t>
    </r>
  </si>
  <si>
    <t>K</t>
  </si>
  <si>
    <t>T0</t>
  </si>
  <si>
    <r>
      <t>C</t>
    </r>
    <r>
      <rPr>
        <vertAlign val="subscript"/>
        <sz val="11"/>
        <color theme="1"/>
        <rFont val="Calibri"/>
        <family val="2"/>
        <scheme val="minor"/>
      </rPr>
      <t>p,avg</t>
    </r>
  </si>
  <si>
    <t>J/mol/K</t>
  </si>
  <si>
    <t>averaged between 298 K &amp; 1600 K</t>
  </si>
  <si>
    <t>ΔT</t>
  </si>
  <si>
    <r>
      <t>Q</t>
    </r>
    <r>
      <rPr>
        <vertAlign val="subscript"/>
        <sz val="11"/>
        <color theme="1"/>
        <rFont val="Calibri"/>
        <family val="2"/>
        <scheme val="minor"/>
      </rPr>
      <t>req</t>
    </r>
  </si>
  <si>
    <t>Heat Required per mole of mixture</t>
  </si>
  <si>
    <t>LFL</t>
  </si>
  <si>
    <t>(Limiting Adiabatic Flame Temperature): The minimum temperature a flame must reach to provide enough kinetic energy for the combustion reaction to remain self-sustaining. For many hydrocarbons in air, this is roughly 1500–1600 K</t>
  </si>
  <si>
    <t>The LFL is sensitive to pressure, so this calculation assumes atmospheric pressure.</t>
  </si>
  <si>
    <t xml:space="preserve">propane in a mixture of 
21 % oxygen + 79 % CO2
</t>
  </si>
  <si>
    <t>Carbon dioxide is a triatomic molecule with more vibrational modes than diatomic nitrogen. Its average heat capacity between 298 K and 1600K is approximately 52 J/mol/K</t>
  </si>
  <si>
    <r>
      <t>C</t>
    </r>
    <r>
      <rPr>
        <vertAlign val="subscript"/>
        <sz val="11"/>
        <color theme="1"/>
        <rFont val="Calibri"/>
        <family val="2"/>
        <scheme val="minor"/>
      </rPr>
      <t xml:space="preserve">p,avg </t>
    </r>
    <r>
      <rPr>
        <sz val="11"/>
        <color theme="1"/>
        <rFont val="Calibri"/>
        <family val="2"/>
        <scheme val="minor"/>
      </rPr>
      <t>for O2</t>
    </r>
  </si>
  <si>
    <r>
      <t>C</t>
    </r>
    <r>
      <rPr>
        <vertAlign val="subscript"/>
        <sz val="11"/>
        <color theme="1"/>
        <rFont val="Calibri"/>
        <family val="2"/>
        <scheme val="minor"/>
      </rPr>
      <t xml:space="preserve">p,avg </t>
    </r>
    <r>
      <rPr>
        <sz val="11"/>
        <color theme="1"/>
        <rFont val="Calibri"/>
        <family val="2"/>
        <scheme val="minor"/>
      </rPr>
      <t>for CO2</t>
    </r>
  </si>
  <si>
    <t>Mixture Cp,avg</t>
  </si>
  <si>
    <r>
      <t xml:space="preserve">The LFL is higher in a CO2 mixture because CO2 has a higher molar heat capacity.
</t>
    </r>
    <r>
      <rPr>
        <b/>
        <sz val="11"/>
        <color theme="1"/>
        <rFont val="Calibri"/>
        <family val="2"/>
        <scheme val="minor"/>
      </rPr>
      <t>Thermal Ballast</t>
    </r>
    <r>
      <rPr>
        <sz val="11"/>
        <color theme="1"/>
        <rFont val="Calibri"/>
        <family val="2"/>
        <scheme val="minor"/>
      </rPr>
      <t>: To reach the required 1600 K for a self-sustaining flame, the combustion of propane must provide enough energy to heat up all the surrounding inert molecules.
Since each molecule of CO2 can absorb more energy per degree of temperature rise than N2, you need to burn more propane (increase the concentration) to generate enough total heat to reach that threshold.
This is why using CO2 for inerting your high-pressure boosters or reactor systems is more efficient than using N2; you need roughly 66% less gas to achieve the same level of fire suppression.</t>
    </r>
  </si>
  <si>
    <t>Combustion is a chemical reaction, and like all reactions, its speed depends on temperature according to the Arrhenius Equation:k=Ae^(-Ea/RT); As the fuel concentration drops (moving toward the LFL), the flame temperature also drops. When the temperature falls toward 1600 K, the reaction rate decreases exponentially. Above 1600 K: The reaction is fast enough to release heat faster than it is lost to the environment. The flame is "stable." If a mixture cannot even theoretically reach 1600 K under adiabatic (no heat loss) conditions, it is physically impossible for it to sustain a flame in the real world where heat losses are always present.</t>
  </si>
  <si>
    <t>Mpa</t>
  </si>
  <si>
    <t>P in</t>
  </si>
  <si>
    <t>at P=</t>
  </si>
  <si>
    <t>bar</t>
  </si>
  <si>
    <t>LFLp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</si>
</sst>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11"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b/>
      <i/>
      <sz val="14"/>
      <color theme="1"/>
      <name val="Calibri"/>
      <family val="2"/>
      <scheme val="minor"/>
    </font>
    <font>
      <vertAlign val="subscript"/>
      <sz val="11"/>
      <color theme="1"/>
      <name val="Calibri"/>
      <family val="2"/>
      <scheme val="minor"/>
    </font>
    <font>
      <sz val="11"/>
      <color theme="1"/>
      <name val="Calibri"/>
      <family val="2"/>
      <scheme val="minor"/>
    </font>
    <font>
      <sz val="10"/>
      <color theme="1"/>
      <name val="Calibri"/>
      <family val="2"/>
      <scheme val="minor"/>
    </font>
    <font>
      <b/>
      <vertAlign val="subscript"/>
      <sz val="11"/>
      <color theme="1"/>
      <name val="Calibri"/>
      <family val="2"/>
      <scheme val="minor"/>
    </font>
    <font>
      <sz val="11"/>
      <color rgb="FFFF0000"/>
      <name val="Calibri"/>
      <family val="2"/>
      <scheme val="minor"/>
    </font>
    <font>
      <sz val="8"/>
      <name val="Calibri"/>
      <family val="2"/>
      <scheme val="minor"/>
    </font>
  </fonts>
  <fills count="8">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2"/>
        <bgColor indexed="64"/>
      </patternFill>
    </fill>
  </fills>
  <borders count="31">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9" fontId="6" fillId="0" borderId="0" applyFont="0" applyFill="0" applyBorder="0" applyAlignment="0" applyProtection="0"/>
  </cellStyleXfs>
  <cellXfs count="102">
    <xf numFmtId="0" fontId="0" fillId="0" borderId="0" xfId="0"/>
    <xf numFmtId="0" fontId="0" fillId="0" borderId="1" xfId="0" applyBorder="1"/>
    <xf numFmtId="0" fontId="0" fillId="0" borderId="2" xfId="0" applyBorder="1"/>
    <xf numFmtId="2" fontId="0" fillId="2" borderId="2" xfId="0" applyNumberFormat="1" applyFill="1" applyBorder="1"/>
    <xf numFmtId="0" fontId="0" fillId="0" borderId="3" xfId="0" applyBorder="1"/>
    <xf numFmtId="2" fontId="1" fillId="2" borderId="2" xfId="0" quotePrefix="1" applyNumberFormat="1" applyFont="1" applyFill="1" applyBorder="1" applyAlignment="1">
      <alignment horizontal="center"/>
    </xf>
    <xf numFmtId="2" fontId="1" fillId="2" borderId="2" xfId="0" applyNumberFormat="1" applyFont="1" applyFill="1" applyBorder="1" applyAlignment="1">
      <alignment horizontal="center"/>
    </xf>
    <xf numFmtId="0" fontId="0" fillId="0" borderId="8" xfId="0" applyBorder="1" applyAlignment="1">
      <alignment horizontal="center"/>
    </xf>
    <xf numFmtId="2" fontId="1" fillId="2" borderId="6" xfId="0" applyNumberFormat="1" applyFont="1" applyFill="1" applyBorder="1" applyAlignment="1">
      <alignment horizontal="center"/>
    </xf>
    <xf numFmtId="0" fontId="1" fillId="3" borderId="2" xfId="0" applyFont="1" applyFill="1" applyBorder="1" applyAlignment="1">
      <alignment horizontal="center"/>
    </xf>
    <xf numFmtId="164" fontId="0" fillId="3" borderId="2" xfId="0" applyNumberFormat="1" applyFill="1" applyBorder="1"/>
    <xf numFmtId="0" fontId="1" fillId="4" borderId="7" xfId="0" applyFont="1" applyFill="1" applyBorder="1" applyAlignment="1">
      <alignment horizontal="center"/>
    </xf>
    <xf numFmtId="164" fontId="0" fillId="4" borderId="2" xfId="0" applyNumberFormat="1" applyFill="1" applyBorder="1"/>
    <xf numFmtId="2" fontId="0" fillId="4" borderId="2" xfId="0" applyNumberFormat="1" applyFill="1" applyBorder="1" applyAlignment="1">
      <alignment horizontal="center"/>
    </xf>
    <xf numFmtId="2" fontId="1" fillId="2" borderId="10" xfId="0" applyNumberFormat="1" applyFont="1" applyFill="1" applyBorder="1" applyAlignment="1">
      <alignment horizontal="centerContinuous"/>
    </xf>
    <xf numFmtId="2" fontId="1" fillId="2" borderId="7" xfId="0" applyNumberFormat="1" applyFont="1" applyFill="1" applyBorder="1" applyAlignment="1">
      <alignment horizontal="centerContinuous"/>
    </xf>
    <xf numFmtId="0" fontId="0" fillId="3" borderId="2" xfId="0" applyFill="1" applyBorder="1"/>
    <xf numFmtId="0" fontId="0" fillId="0" borderId="15" xfId="0" applyBorder="1" applyAlignment="1">
      <alignment horizontal="right"/>
    </xf>
    <xf numFmtId="0" fontId="0" fillId="0" borderId="16" xfId="0" applyBorder="1"/>
    <xf numFmtId="0" fontId="0" fillId="0" borderId="15" xfId="0" applyBorder="1"/>
    <xf numFmtId="0" fontId="0" fillId="0" borderId="17" xfId="0" applyBorder="1"/>
    <xf numFmtId="0" fontId="0" fillId="0" borderId="18" xfId="0" applyBorder="1"/>
    <xf numFmtId="0" fontId="0" fillId="3" borderId="22" xfId="0" applyFill="1" applyBorder="1"/>
    <xf numFmtId="0" fontId="0" fillId="0" borderId="23" xfId="0" applyBorder="1"/>
    <xf numFmtId="0" fontId="0" fillId="3" borderId="24" xfId="0" applyFill="1" applyBorder="1"/>
    <xf numFmtId="0" fontId="0" fillId="0" borderId="25" xfId="0" applyBorder="1"/>
    <xf numFmtId="0" fontId="0" fillId="0" borderId="26" xfId="0" applyBorder="1"/>
    <xf numFmtId="0" fontId="3" fillId="0" borderId="0" xfId="0" applyFont="1"/>
    <xf numFmtId="0" fontId="4" fillId="0" borderId="0" xfId="0" applyFont="1"/>
    <xf numFmtId="0" fontId="1" fillId="6" borderId="2" xfId="0" applyFont="1" applyFill="1" applyBorder="1" applyAlignment="1">
      <alignment horizontal="center"/>
    </xf>
    <xf numFmtId="2" fontId="0" fillId="6" borderId="2" xfId="0" applyNumberFormat="1" applyFill="1" applyBorder="1" applyAlignment="1">
      <alignment horizontal="center"/>
    </xf>
    <xf numFmtId="0" fontId="0" fillId="0" borderId="0" xfId="0" applyAlignment="1">
      <alignment horizontal="center" vertical="center"/>
    </xf>
    <xf numFmtId="0" fontId="7" fillId="0" borderId="0" xfId="0" applyFont="1" applyAlignment="1">
      <alignment horizontal="center" vertical="center" wrapText="1"/>
    </xf>
    <xf numFmtId="0" fontId="1" fillId="7"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1" fillId="0" borderId="2" xfId="0" applyFont="1" applyBorder="1" applyAlignment="1">
      <alignment horizontal="center" vertical="center"/>
    </xf>
    <xf numFmtId="0" fontId="0" fillId="0" borderId="2" xfId="0" quotePrefix="1" applyBorder="1" applyAlignment="1">
      <alignment horizontal="center" vertical="center"/>
    </xf>
    <xf numFmtId="0" fontId="0" fillId="0" borderId="11" xfId="0" applyBorder="1"/>
    <xf numFmtId="9" fontId="0" fillId="0" borderId="2" xfId="0" applyNumberFormat="1" applyBorder="1" applyAlignment="1">
      <alignment horizontal="center" vertical="center"/>
    </xf>
    <xf numFmtId="9" fontId="0" fillId="0" borderId="2" xfId="1" applyFont="1" applyBorder="1"/>
    <xf numFmtId="2" fontId="0" fillId="0" borderId="2" xfId="0" applyNumberFormat="1" applyBorder="1"/>
    <xf numFmtId="10" fontId="0" fillId="0" borderId="2" xfId="1" applyNumberFormat="1" applyFont="1" applyBorder="1"/>
    <xf numFmtId="0" fontId="0" fillId="0" borderId="27" xfId="0" applyBorder="1"/>
    <xf numFmtId="2" fontId="0" fillId="0" borderId="27" xfId="1" applyNumberFormat="1" applyFont="1" applyBorder="1"/>
    <xf numFmtId="10" fontId="0" fillId="0" borderId="27" xfId="0" applyNumberFormat="1" applyBorder="1"/>
    <xf numFmtId="9" fontId="0" fillId="0" borderId="27" xfId="0" applyNumberFormat="1" applyBorder="1"/>
    <xf numFmtId="165" fontId="0" fillId="0" borderId="27" xfId="1" applyNumberFormat="1" applyFont="1" applyBorder="1"/>
    <xf numFmtId="166" fontId="0" fillId="0" borderId="2" xfId="0" applyNumberFormat="1" applyBorder="1"/>
    <xf numFmtId="0" fontId="1" fillId="7" borderId="27" xfId="0" applyFont="1" applyFill="1" applyBorder="1"/>
    <xf numFmtId="0" fontId="1" fillId="7" borderId="2" xfId="0" applyFont="1" applyFill="1" applyBorder="1" applyAlignment="1">
      <alignment horizontal="left" vertical="center" wrapText="1"/>
    </xf>
    <xf numFmtId="0" fontId="0" fillId="0" borderId="2" xfId="0" applyBorder="1" applyAlignment="1">
      <alignment horizontal="left" vertical="top" wrapText="1"/>
    </xf>
    <xf numFmtId="0" fontId="1" fillId="7" borderId="2" xfId="0" applyFont="1" applyFill="1" applyBorder="1" applyAlignment="1">
      <alignment horizontal="center"/>
    </xf>
    <xf numFmtId="0" fontId="1" fillId="0" borderId="2" xfId="0" applyFont="1" applyBorder="1" applyAlignment="1">
      <alignment horizontal="left" vertical="top" wrapText="1"/>
    </xf>
    <xf numFmtId="0" fontId="0" fillId="0" borderId="2" xfId="0" applyBorder="1" applyAlignment="1">
      <alignment horizontal="center" vertical="center" wrapText="1"/>
    </xf>
    <xf numFmtId="10" fontId="0" fillId="0" borderId="2" xfId="1" applyNumberFormat="1" applyFont="1" applyBorder="1" applyAlignment="1">
      <alignment horizontal="center" vertical="center"/>
    </xf>
    <xf numFmtId="10" fontId="0" fillId="0" borderId="2" xfId="1" applyNumberFormat="1"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5" borderId="2" xfId="0" applyFont="1" applyFill="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4" borderId="1" xfId="0" applyFont="1" applyFill="1" applyBorder="1" applyAlignment="1">
      <alignment horizontal="center"/>
    </xf>
    <xf numFmtId="0" fontId="1" fillId="4" borderId="0" xfId="0" applyFont="1" applyFill="1" applyAlignment="1">
      <alignment horizontal="center"/>
    </xf>
    <xf numFmtId="0" fontId="1" fillId="4" borderId="11" xfId="0" applyFont="1" applyFill="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1" fillId="4" borderId="10" xfId="0" applyFont="1" applyFill="1" applyBorder="1" applyAlignment="1">
      <alignment horizontal="center"/>
    </xf>
    <xf numFmtId="9" fontId="0" fillId="0" borderId="0" xfId="1" applyFont="1" applyAlignment="1">
      <alignment horizontal="center" vertic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center" wrapText="1"/>
    </xf>
    <xf numFmtId="0" fontId="0" fillId="0" borderId="2" xfId="0" applyBorder="1" applyAlignment="1">
      <alignment horizontal="center" vertical="center"/>
    </xf>
    <xf numFmtId="0" fontId="0" fillId="0" borderId="0" xfId="0" applyAlignment="1">
      <alignment horizontal="left"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1"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right"/>
    </xf>
    <xf numFmtId="0" fontId="0" fillId="0" borderId="2" xfId="0" applyFill="1" applyBorder="1"/>
    <xf numFmtId="0" fontId="0" fillId="0" borderId="0" xfId="0" applyAlignment="1">
      <alignment horizontal="right" vertical="center"/>
    </xf>
    <xf numFmtId="0" fontId="1" fillId="0" borderId="0" xfId="0" applyFont="1" applyBorder="1" applyAlignment="1">
      <alignment horizontal="left"/>
    </xf>
    <xf numFmtId="0" fontId="0" fillId="0" borderId="2" xfId="0" applyBorder="1" applyAlignment="1">
      <alignment horizontal="left" wrapText="1"/>
    </xf>
    <xf numFmtId="0" fontId="7" fillId="0" borderId="2" xfId="0" applyFont="1" applyBorder="1" applyAlignment="1">
      <alignment horizontal="left" vertical="top" wrapText="1"/>
    </xf>
    <xf numFmtId="0" fontId="0" fillId="0" borderId="2" xfId="0" applyFont="1" applyBorder="1" applyAlignment="1">
      <alignment horizontal="left" vertical="top" wrapText="1"/>
    </xf>
    <xf numFmtId="9" fontId="9" fillId="0" borderId="2" xfId="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06890796346701E-2"/>
          <c:y val="4.3456783364357598E-2"/>
          <c:w val="0.93186218407306598"/>
          <c:h val="0.84246682726286348"/>
        </c:manualLayout>
      </c:layout>
      <c:scatterChart>
        <c:scatterStyle val="lineMarker"/>
        <c:varyColors val="0"/>
        <c:ser>
          <c:idx val="13"/>
          <c:order val="0"/>
          <c:tx>
            <c:strRef>
              <c:f>flammability_chart!$A$13</c:f>
              <c:strCache>
                <c:ptCount val="1"/>
                <c:pt idx="0">
                  <c:v>Upper</c:v>
                </c:pt>
              </c:strCache>
            </c:strRef>
          </c:tx>
          <c:spPr>
            <a:ln w="19050" cap="rnd">
              <a:noFill/>
              <a:round/>
            </a:ln>
            <a:effectLst/>
          </c:spPr>
          <c:marker>
            <c:symbol val="square"/>
            <c:size val="5"/>
            <c:spPr>
              <a:solidFill>
                <a:srgbClr val="FF0000"/>
              </a:solidFill>
              <a:ln w="9525">
                <a:solidFill>
                  <a:schemeClr val="tx1"/>
                </a:solidFill>
              </a:ln>
              <a:effectLst/>
            </c:spPr>
          </c:marker>
          <c:xVal>
            <c:numRef>
              <c:f>flammability_chart!$K$13:$K$16</c:f>
              <c:numCache>
                <c:formatCode>0.00</c:formatCode>
                <c:ptCount val="4"/>
                <c:pt idx="0">
                  <c:v>0</c:v>
                </c:pt>
                <c:pt idx="1">
                  <c:v>0</c:v>
                </c:pt>
                <c:pt idx="2">
                  <c:v>0</c:v>
                </c:pt>
                <c:pt idx="3">
                  <c:v>0</c:v>
                </c:pt>
              </c:numCache>
            </c:numRef>
          </c:xVal>
          <c:yVal>
            <c:numRef>
              <c:f>flammability_chart!$L$13:$L$16</c:f>
              <c:numCache>
                <c:formatCode>0.00</c:formatCode>
                <c:ptCount val="4"/>
                <c:pt idx="0">
                  <c:v>0</c:v>
                </c:pt>
                <c:pt idx="1">
                  <c:v>0</c:v>
                </c:pt>
                <c:pt idx="2">
                  <c:v>0</c:v>
                </c:pt>
                <c:pt idx="3">
                  <c:v>0</c:v>
                </c:pt>
              </c:numCache>
            </c:numRef>
          </c:yVal>
          <c:smooth val="0"/>
          <c:extLst>
            <c:ext xmlns:c16="http://schemas.microsoft.com/office/drawing/2014/chart" uri="{C3380CC4-5D6E-409C-BE32-E72D297353CC}">
              <c16:uniqueId val="{00000018-1342-4E82-8926-1C74165B4D4B}"/>
            </c:ext>
          </c:extLst>
        </c:ser>
        <c:ser>
          <c:idx val="17"/>
          <c:order val="1"/>
          <c:tx>
            <c:strRef>
              <c:f>flammability_chart!$A$17</c:f>
              <c:strCache>
                <c:ptCount val="1"/>
                <c:pt idx="0">
                  <c:v>Lower</c:v>
                </c:pt>
              </c:strCache>
            </c:strRef>
          </c:tx>
          <c:spPr>
            <a:ln w="25400" cap="rnd">
              <a:noFill/>
              <a:round/>
            </a:ln>
            <a:effectLst/>
          </c:spPr>
          <c:marker>
            <c:symbol val="square"/>
            <c:size val="5"/>
            <c:spPr>
              <a:solidFill>
                <a:schemeClr val="accent1"/>
              </a:solidFill>
              <a:ln w="9525">
                <a:solidFill>
                  <a:schemeClr val="tx1"/>
                </a:solidFill>
              </a:ln>
              <a:effectLst/>
            </c:spPr>
          </c:marker>
          <c:xVal>
            <c:numRef>
              <c:f>flammability_chart!$K$17:$K$20</c:f>
              <c:numCache>
                <c:formatCode>0.00</c:formatCode>
                <c:ptCount val="4"/>
                <c:pt idx="0">
                  <c:v>0</c:v>
                </c:pt>
                <c:pt idx="1">
                  <c:v>0</c:v>
                </c:pt>
                <c:pt idx="2">
                  <c:v>0</c:v>
                </c:pt>
                <c:pt idx="3">
                  <c:v>0</c:v>
                </c:pt>
              </c:numCache>
            </c:numRef>
          </c:xVal>
          <c:yVal>
            <c:numRef>
              <c:f>flammability_chart!$L$17:$L$20</c:f>
              <c:numCache>
                <c:formatCode>0.00</c:formatCode>
                <c:ptCount val="4"/>
                <c:pt idx="0">
                  <c:v>0</c:v>
                </c:pt>
                <c:pt idx="1">
                  <c:v>0</c:v>
                </c:pt>
                <c:pt idx="2">
                  <c:v>0</c:v>
                </c:pt>
                <c:pt idx="3">
                  <c:v>0</c:v>
                </c:pt>
              </c:numCache>
            </c:numRef>
          </c:yVal>
          <c:smooth val="0"/>
          <c:extLst>
            <c:ext xmlns:c16="http://schemas.microsoft.com/office/drawing/2014/chart" uri="{C3380CC4-5D6E-409C-BE32-E72D297353CC}">
              <c16:uniqueId val="{00000000-A2C4-4C1C-9DDF-561BC45F5CEC}"/>
            </c:ext>
          </c:extLst>
        </c:ser>
        <c:ser>
          <c:idx val="0"/>
          <c:order val="2"/>
          <c:tx>
            <c:v>Triange</c:v>
          </c:tx>
          <c:spPr>
            <a:ln w="19050" cap="rnd">
              <a:solidFill>
                <a:schemeClr val="accent1"/>
              </a:solidFill>
              <a:round/>
            </a:ln>
            <a:effectLst/>
          </c:spPr>
          <c:marker>
            <c:symbol val="none"/>
          </c:marker>
          <c:xVal>
            <c:numRef>
              <c:f>flammability_chart!$W$4:$W$7</c:f>
              <c:numCache>
                <c:formatCode>General</c:formatCode>
                <c:ptCount val="4"/>
                <c:pt idx="0">
                  <c:v>0</c:v>
                </c:pt>
                <c:pt idx="1">
                  <c:v>50</c:v>
                </c:pt>
                <c:pt idx="2">
                  <c:v>100</c:v>
                </c:pt>
                <c:pt idx="3">
                  <c:v>0</c:v>
                </c:pt>
              </c:numCache>
            </c:numRef>
          </c:xVal>
          <c:yVal>
            <c:numRef>
              <c:f>flammability_chart!$X$4:$X$7</c:f>
              <c:numCache>
                <c:formatCode>General</c:formatCode>
                <c:ptCount val="4"/>
                <c:pt idx="0">
                  <c:v>0</c:v>
                </c:pt>
                <c:pt idx="1">
                  <c:v>100</c:v>
                </c:pt>
                <c:pt idx="2">
                  <c:v>0</c:v>
                </c:pt>
                <c:pt idx="3">
                  <c:v>0</c:v>
                </c:pt>
              </c:numCache>
            </c:numRef>
          </c:yVal>
          <c:smooth val="0"/>
          <c:extLst>
            <c:ext xmlns:c16="http://schemas.microsoft.com/office/drawing/2014/chart" uri="{C3380CC4-5D6E-409C-BE32-E72D297353CC}">
              <c16:uniqueId val="{00000000-1342-4E82-8926-1C74165B4D4B}"/>
            </c:ext>
          </c:extLst>
        </c:ser>
        <c:ser>
          <c:idx val="1"/>
          <c:order val="3"/>
          <c:tx>
            <c:v>1</c:v>
          </c:tx>
          <c:spPr>
            <a:ln w="3175" cap="rnd">
              <a:solidFill>
                <a:schemeClr val="tx1">
                  <a:lumMod val="50000"/>
                  <a:lumOff val="50000"/>
                </a:schemeClr>
              </a:solidFill>
              <a:prstDash val="dash"/>
              <a:round/>
            </a:ln>
            <a:effectLst/>
          </c:spPr>
          <c:marker>
            <c:symbol val="none"/>
          </c:marker>
          <c:xVal>
            <c:numRef>
              <c:f>flammability_chart!$W$8:$W$9</c:f>
              <c:numCache>
                <c:formatCode>General</c:formatCode>
                <c:ptCount val="2"/>
                <c:pt idx="0">
                  <c:v>20</c:v>
                </c:pt>
                <c:pt idx="1">
                  <c:v>60</c:v>
                </c:pt>
              </c:numCache>
            </c:numRef>
          </c:xVal>
          <c:yVal>
            <c:numRef>
              <c:f>flammability_chart!$X$8:$X$9</c:f>
              <c:numCache>
                <c:formatCode>General</c:formatCode>
                <c:ptCount val="2"/>
                <c:pt idx="0">
                  <c:v>0</c:v>
                </c:pt>
                <c:pt idx="1">
                  <c:v>80</c:v>
                </c:pt>
              </c:numCache>
            </c:numRef>
          </c:yVal>
          <c:smooth val="0"/>
          <c:extLst>
            <c:ext xmlns:c16="http://schemas.microsoft.com/office/drawing/2014/chart" uri="{C3380CC4-5D6E-409C-BE32-E72D297353CC}">
              <c16:uniqueId val="{0000000C-1342-4E82-8926-1C74165B4D4B}"/>
            </c:ext>
          </c:extLst>
        </c:ser>
        <c:ser>
          <c:idx val="2"/>
          <c:order val="4"/>
          <c:tx>
            <c:v>2</c:v>
          </c:tx>
          <c:spPr>
            <a:ln w="3175" cap="rnd">
              <a:solidFill>
                <a:schemeClr val="tx1">
                  <a:lumMod val="50000"/>
                  <a:lumOff val="50000"/>
                </a:schemeClr>
              </a:solidFill>
              <a:prstDash val="dash"/>
              <a:round/>
            </a:ln>
            <a:effectLst/>
          </c:spPr>
          <c:marker>
            <c:symbol val="none"/>
          </c:marker>
          <c:xVal>
            <c:numRef>
              <c:f>flammability_chart!$W$10:$W$11</c:f>
              <c:numCache>
                <c:formatCode>General</c:formatCode>
                <c:ptCount val="2"/>
                <c:pt idx="0">
                  <c:v>40</c:v>
                </c:pt>
                <c:pt idx="1">
                  <c:v>70</c:v>
                </c:pt>
              </c:numCache>
            </c:numRef>
          </c:xVal>
          <c:yVal>
            <c:numRef>
              <c:f>flammability_chart!$X$10:$X$11</c:f>
              <c:numCache>
                <c:formatCode>General</c:formatCode>
                <c:ptCount val="2"/>
                <c:pt idx="0">
                  <c:v>0</c:v>
                </c:pt>
                <c:pt idx="1">
                  <c:v>60</c:v>
                </c:pt>
              </c:numCache>
            </c:numRef>
          </c:yVal>
          <c:smooth val="0"/>
          <c:extLst>
            <c:ext xmlns:c16="http://schemas.microsoft.com/office/drawing/2014/chart" uri="{C3380CC4-5D6E-409C-BE32-E72D297353CC}">
              <c16:uniqueId val="{0000000D-1342-4E82-8926-1C74165B4D4B}"/>
            </c:ext>
          </c:extLst>
        </c:ser>
        <c:ser>
          <c:idx val="3"/>
          <c:order val="5"/>
          <c:tx>
            <c:v>3</c:v>
          </c:tx>
          <c:spPr>
            <a:ln w="3175" cap="rnd">
              <a:solidFill>
                <a:schemeClr val="tx1">
                  <a:lumMod val="50000"/>
                  <a:lumOff val="50000"/>
                </a:schemeClr>
              </a:solidFill>
              <a:prstDash val="dash"/>
              <a:round/>
            </a:ln>
            <a:effectLst/>
          </c:spPr>
          <c:marker>
            <c:symbol val="none"/>
          </c:marker>
          <c:xVal>
            <c:numRef>
              <c:f>flammability_chart!$W$12:$W$13</c:f>
              <c:numCache>
                <c:formatCode>General</c:formatCode>
                <c:ptCount val="2"/>
                <c:pt idx="0">
                  <c:v>60</c:v>
                </c:pt>
                <c:pt idx="1">
                  <c:v>80</c:v>
                </c:pt>
              </c:numCache>
            </c:numRef>
          </c:xVal>
          <c:yVal>
            <c:numRef>
              <c:f>flammability_chart!$X$12:$X$13</c:f>
              <c:numCache>
                <c:formatCode>General</c:formatCode>
                <c:ptCount val="2"/>
                <c:pt idx="0">
                  <c:v>0</c:v>
                </c:pt>
                <c:pt idx="1">
                  <c:v>40</c:v>
                </c:pt>
              </c:numCache>
            </c:numRef>
          </c:yVal>
          <c:smooth val="0"/>
          <c:extLst>
            <c:ext xmlns:c16="http://schemas.microsoft.com/office/drawing/2014/chart" uri="{C3380CC4-5D6E-409C-BE32-E72D297353CC}">
              <c16:uniqueId val="{0000000E-1342-4E82-8926-1C74165B4D4B}"/>
            </c:ext>
          </c:extLst>
        </c:ser>
        <c:ser>
          <c:idx val="4"/>
          <c:order val="6"/>
          <c:tx>
            <c:v>4</c:v>
          </c:tx>
          <c:spPr>
            <a:ln w="3175" cap="rnd">
              <a:solidFill>
                <a:schemeClr val="tx1">
                  <a:lumMod val="50000"/>
                  <a:lumOff val="50000"/>
                </a:schemeClr>
              </a:solidFill>
              <a:prstDash val="dash"/>
              <a:round/>
            </a:ln>
            <a:effectLst/>
          </c:spPr>
          <c:marker>
            <c:symbol val="none"/>
          </c:marker>
          <c:xVal>
            <c:numRef>
              <c:f>flammability_chart!$W$14:$W$15</c:f>
              <c:numCache>
                <c:formatCode>General</c:formatCode>
                <c:ptCount val="2"/>
                <c:pt idx="0">
                  <c:v>80</c:v>
                </c:pt>
                <c:pt idx="1">
                  <c:v>90</c:v>
                </c:pt>
              </c:numCache>
            </c:numRef>
          </c:xVal>
          <c:yVal>
            <c:numRef>
              <c:f>flammability_chart!$X$14:$X$15</c:f>
              <c:numCache>
                <c:formatCode>General</c:formatCode>
                <c:ptCount val="2"/>
                <c:pt idx="0">
                  <c:v>0</c:v>
                </c:pt>
                <c:pt idx="1">
                  <c:v>20</c:v>
                </c:pt>
              </c:numCache>
            </c:numRef>
          </c:yVal>
          <c:smooth val="0"/>
          <c:extLst>
            <c:ext xmlns:c16="http://schemas.microsoft.com/office/drawing/2014/chart" uri="{C3380CC4-5D6E-409C-BE32-E72D297353CC}">
              <c16:uniqueId val="{0000000F-1342-4E82-8926-1C74165B4D4B}"/>
            </c:ext>
          </c:extLst>
        </c:ser>
        <c:ser>
          <c:idx val="5"/>
          <c:order val="7"/>
          <c:tx>
            <c:v>5</c:v>
          </c:tx>
          <c:spPr>
            <a:ln w="3175" cap="rnd">
              <a:solidFill>
                <a:schemeClr val="tx1">
                  <a:lumMod val="50000"/>
                  <a:lumOff val="50000"/>
                </a:schemeClr>
              </a:solidFill>
              <a:prstDash val="dash"/>
              <a:round/>
            </a:ln>
            <a:effectLst/>
          </c:spPr>
          <c:marker>
            <c:symbol val="none"/>
          </c:marker>
          <c:xVal>
            <c:numRef>
              <c:f>flammability_chart!$W$16:$W$17</c:f>
              <c:numCache>
                <c:formatCode>General</c:formatCode>
                <c:ptCount val="2"/>
                <c:pt idx="0">
                  <c:v>20</c:v>
                </c:pt>
                <c:pt idx="1">
                  <c:v>10</c:v>
                </c:pt>
              </c:numCache>
            </c:numRef>
          </c:xVal>
          <c:yVal>
            <c:numRef>
              <c:f>flammability_chart!$X$16:$X$17</c:f>
              <c:numCache>
                <c:formatCode>General</c:formatCode>
                <c:ptCount val="2"/>
                <c:pt idx="0">
                  <c:v>0</c:v>
                </c:pt>
                <c:pt idx="1">
                  <c:v>20</c:v>
                </c:pt>
              </c:numCache>
            </c:numRef>
          </c:yVal>
          <c:smooth val="0"/>
          <c:extLst>
            <c:ext xmlns:c16="http://schemas.microsoft.com/office/drawing/2014/chart" uri="{C3380CC4-5D6E-409C-BE32-E72D297353CC}">
              <c16:uniqueId val="{00000010-1342-4E82-8926-1C74165B4D4B}"/>
            </c:ext>
          </c:extLst>
        </c:ser>
        <c:ser>
          <c:idx val="6"/>
          <c:order val="8"/>
          <c:tx>
            <c:v>6</c:v>
          </c:tx>
          <c:spPr>
            <a:ln w="3175" cap="rnd">
              <a:solidFill>
                <a:schemeClr val="tx1">
                  <a:lumMod val="50000"/>
                  <a:lumOff val="50000"/>
                </a:schemeClr>
              </a:solidFill>
              <a:prstDash val="dash"/>
              <a:round/>
            </a:ln>
            <a:effectLst/>
          </c:spPr>
          <c:marker>
            <c:symbol val="none"/>
          </c:marker>
          <c:xVal>
            <c:numRef>
              <c:f>flammability_chart!$W$18:$W$19</c:f>
              <c:numCache>
                <c:formatCode>General</c:formatCode>
                <c:ptCount val="2"/>
                <c:pt idx="0">
                  <c:v>40</c:v>
                </c:pt>
                <c:pt idx="1">
                  <c:v>20</c:v>
                </c:pt>
              </c:numCache>
            </c:numRef>
          </c:xVal>
          <c:yVal>
            <c:numRef>
              <c:f>flammability_chart!$X$18:$X$19</c:f>
              <c:numCache>
                <c:formatCode>General</c:formatCode>
                <c:ptCount val="2"/>
                <c:pt idx="0">
                  <c:v>0</c:v>
                </c:pt>
                <c:pt idx="1">
                  <c:v>40</c:v>
                </c:pt>
              </c:numCache>
            </c:numRef>
          </c:yVal>
          <c:smooth val="0"/>
          <c:extLst>
            <c:ext xmlns:c16="http://schemas.microsoft.com/office/drawing/2014/chart" uri="{C3380CC4-5D6E-409C-BE32-E72D297353CC}">
              <c16:uniqueId val="{00000011-1342-4E82-8926-1C74165B4D4B}"/>
            </c:ext>
          </c:extLst>
        </c:ser>
        <c:ser>
          <c:idx val="7"/>
          <c:order val="9"/>
          <c:tx>
            <c:v>7</c:v>
          </c:tx>
          <c:spPr>
            <a:ln w="3175" cap="rnd">
              <a:solidFill>
                <a:schemeClr val="tx1">
                  <a:lumMod val="50000"/>
                  <a:lumOff val="50000"/>
                </a:schemeClr>
              </a:solidFill>
              <a:prstDash val="dash"/>
              <a:round/>
            </a:ln>
            <a:effectLst/>
          </c:spPr>
          <c:marker>
            <c:symbol val="none"/>
          </c:marker>
          <c:xVal>
            <c:numRef>
              <c:f>flammability_chart!$W$20:$W$21</c:f>
              <c:numCache>
                <c:formatCode>General</c:formatCode>
                <c:ptCount val="2"/>
                <c:pt idx="0">
                  <c:v>60</c:v>
                </c:pt>
                <c:pt idx="1">
                  <c:v>30</c:v>
                </c:pt>
              </c:numCache>
            </c:numRef>
          </c:xVal>
          <c:yVal>
            <c:numRef>
              <c:f>flammability_chart!$X$20:$X$21</c:f>
              <c:numCache>
                <c:formatCode>General</c:formatCode>
                <c:ptCount val="2"/>
                <c:pt idx="0">
                  <c:v>0</c:v>
                </c:pt>
                <c:pt idx="1">
                  <c:v>60</c:v>
                </c:pt>
              </c:numCache>
            </c:numRef>
          </c:yVal>
          <c:smooth val="0"/>
          <c:extLst>
            <c:ext xmlns:c16="http://schemas.microsoft.com/office/drawing/2014/chart" uri="{C3380CC4-5D6E-409C-BE32-E72D297353CC}">
              <c16:uniqueId val="{00000012-1342-4E82-8926-1C74165B4D4B}"/>
            </c:ext>
          </c:extLst>
        </c:ser>
        <c:ser>
          <c:idx val="8"/>
          <c:order val="10"/>
          <c:tx>
            <c:v>8</c:v>
          </c:tx>
          <c:spPr>
            <a:ln w="3175" cap="rnd">
              <a:solidFill>
                <a:schemeClr val="tx1">
                  <a:lumMod val="50000"/>
                  <a:lumOff val="50000"/>
                </a:schemeClr>
              </a:solidFill>
              <a:prstDash val="dash"/>
              <a:round/>
            </a:ln>
            <a:effectLst/>
          </c:spPr>
          <c:marker>
            <c:symbol val="none"/>
          </c:marker>
          <c:xVal>
            <c:numRef>
              <c:f>flammability_chart!$W$22:$W$23</c:f>
              <c:numCache>
                <c:formatCode>General</c:formatCode>
                <c:ptCount val="2"/>
                <c:pt idx="0">
                  <c:v>80</c:v>
                </c:pt>
                <c:pt idx="1">
                  <c:v>40</c:v>
                </c:pt>
              </c:numCache>
            </c:numRef>
          </c:xVal>
          <c:yVal>
            <c:numRef>
              <c:f>flammability_chart!$X$22:$X$23</c:f>
              <c:numCache>
                <c:formatCode>General</c:formatCode>
                <c:ptCount val="2"/>
                <c:pt idx="0">
                  <c:v>0</c:v>
                </c:pt>
                <c:pt idx="1">
                  <c:v>80</c:v>
                </c:pt>
              </c:numCache>
            </c:numRef>
          </c:yVal>
          <c:smooth val="0"/>
          <c:extLst>
            <c:ext xmlns:c16="http://schemas.microsoft.com/office/drawing/2014/chart" uri="{C3380CC4-5D6E-409C-BE32-E72D297353CC}">
              <c16:uniqueId val="{00000013-1342-4E82-8926-1C74165B4D4B}"/>
            </c:ext>
          </c:extLst>
        </c:ser>
        <c:ser>
          <c:idx val="9"/>
          <c:order val="11"/>
          <c:tx>
            <c:v>9</c:v>
          </c:tx>
          <c:spPr>
            <a:ln w="3175" cap="rnd">
              <a:solidFill>
                <a:schemeClr val="tx1">
                  <a:lumMod val="50000"/>
                  <a:lumOff val="50000"/>
                </a:schemeClr>
              </a:solidFill>
              <a:prstDash val="dash"/>
              <a:round/>
            </a:ln>
            <a:effectLst/>
          </c:spPr>
          <c:marker>
            <c:symbol val="none"/>
          </c:marker>
          <c:xVal>
            <c:numRef>
              <c:f>flammability_chart!$W$24:$W$25</c:f>
              <c:numCache>
                <c:formatCode>General</c:formatCode>
                <c:ptCount val="2"/>
                <c:pt idx="0">
                  <c:v>10</c:v>
                </c:pt>
                <c:pt idx="1">
                  <c:v>90</c:v>
                </c:pt>
              </c:numCache>
            </c:numRef>
          </c:xVal>
          <c:yVal>
            <c:numRef>
              <c:f>flammability_chart!$X$24:$X$25</c:f>
              <c:numCache>
                <c:formatCode>General</c:formatCode>
                <c:ptCount val="2"/>
                <c:pt idx="0">
                  <c:v>20</c:v>
                </c:pt>
                <c:pt idx="1">
                  <c:v>20</c:v>
                </c:pt>
              </c:numCache>
            </c:numRef>
          </c:yVal>
          <c:smooth val="0"/>
          <c:extLst>
            <c:ext xmlns:c16="http://schemas.microsoft.com/office/drawing/2014/chart" uri="{C3380CC4-5D6E-409C-BE32-E72D297353CC}">
              <c16:uniqueId val="{00000014-1342-4E82-8926-1C74165B4D4B}"/>
            </c:ext>
          </c:extLst>
        </c:ser>
        <c:ser>
          <c:idx val="10"/>
          <c:order val="12"/>
          <c:tx>
            <c:v>10</c:v>
          </c:tx>
          <c:spPr>
            <a:ln w="3175" cap="rnd">
              <a:solidFill>
                <a:schemeClr val="tx1">
                  <a:lumMod val="50000"/>
                  <a:lumOff val="50000"/>
                </a:schemeClr>
              </a:solidFill>
              <a:prstDash val="dash"/>
              <a:round/>
            </a:ln>
            <a:effectLst/>
          </c:spPr>
          <c:marker>
            <c:symbol val="none"/>
          </c:marker>
          <c:xVal>
            <c:numRef>
              <c:f>flammability_chart!$W$26:$W$27</c:f>
              <c:numCache>
                <c:formatCode>General</c:formatCode>
                <c:ptCount val="2"/>
                <c:pt idx="0">
                  <c:v>20</c:v>
                </c:pt>
                <c:pt idx="1">
                  <c:v>80</c:v>
                </c:pt>
              </c:numCache>
            </c:numRef>
          </c:xVal>
          <c:yVal>
            <c:numRef>
              <c:f>flammability_chart!$X$26:$X$27</c:f>
              <c:numCache>
                <c:formatCode>General</c:formatCode>
                <c:ptCount val="2"/>
                <c:pt idx="0">
                  <c:v>40</c:v>
                </c:pt>
                <c:pt idx="1">
                  <c:v>40</c:v>
                </c:pt>
              </c:numCache>
            </c:numRef>
          </c:yVal>
          <c:smooth val="0"/>
          <c:extLst>
            <c:ext xmlns:c16="http://schemas.microsoft.com/office/drawing/2014/chart" uri="{C3380CC4-5D6E-409C-BE32-E72D297353CC}">
              <c16:uniqueId val="{00000015-1342-4E82-8926-1C74165B4D4B}"/>
            </c:ext>
          </c:extLst>
        </c:ser>
        <c:ser>
          <c:idx val="11"/>
          <c:order val="13"/>
          <c:tx>
            <c:v>11</c:v>
          </c:tx>
          <c:spPr>
            <a:ln w="3175" cap="rnd">
              <a:solidFill>
                <a:schemeClr val="tx1">
                  <a:lumMod val="50000"/>
                  <a:lumOff val="50000"/>
                </a:schemeClr>
              </a:solidFill>
              <a:prstDash val="dash"/>
              <a:round/>
            </a:ln>
            <a:effectLst/>
          </c:spPr>
          <c:marker>
            <c:symbol val="none"/>
          </c:marker>
          <c:xVal>
            <c:numRef>
              <c:f>flammability_chart!$W$28:$W$29</c:f>
              <c:numCache>
                <c:formatCode>General</c:formatCode>
                <c:ptCount val="2"/>
                <c:pt idx="0">
                  <c:v>30</c:v>
                </c:pt>
                <c:pt idx="1">
                  <c:v>70</c:v>
                </c:pt>
              </c:numCache>
            </c:numRef>
          </c:xVal>
          <c:yVal>
            <c:numRef>
              <c:f>flammability_chart!$X$28:$X$29</c:f>
              <c:numCache>
                <c:formatCode>General</c:formatCode>
                <c:ptCount val="2"/>
                <c:pt idx="0">
                  <c:v>60</c:v>
                </c:pt>
                <c:pt idx="1">
                  <c:v>60</c:v>
                </c:pt>
              </c:numCache>
            </c:numRef>
          </c:yVal>
          <c:smooth val="0"/>
          <c:extLst>
            <c:ext xmlns:c16="http://schemas.microsoft.com/office/drawing/2014/chart" uri="{C3380CC4-5D6E-409C-BE32-E72D297353CC}">
              <c16:uniqueId val="{00000016-1342-4E82-8926-1C74165B4D4B}"/>
            </c:ext>
          </c:extLst>
        </c:ser>
        <c:ser>
          <c:idx val="12"/>
          <c:order val="14"/>
          <c:tx>
            <c:v>12</c:v>
          </c:tx>
          <c:spPr>
            <a:ln w="3175" cap="rnd">
              <a:solidFill>
                <a:schemeClr val="tx1">
                  <a:lumMod val="50000"/>
                  <a:lumOff val="50000"/>
                </a:schemeClr>
              </a:solidFill>
              <a:prstDash val="dash"/>
              <a:round/>
            </a:ln>
            <a:effectLst/>
          </c:spPr>
          <c:marker>
            <c:symbol val="none"/>
          </c:marker>
          <c:xVal>
            <c:numRef>
              <c:f>flammability_chart!$W$30:$W$31</c:f>
              <c:numCache>
                <c:formatCode>General</c:formatCode>
                <c:ptCount val="2"/>
                <c:pt idx="0">
                  <c:v>40</c:v>
                </c:pt>
                <c:pt idx="1">
                  <c:v>60</c:v>
                </c:pt>
              </c:numCache>
            </c:numRef>
          </c:xVal>
          <c:yVal>
            <c:numRef>
              <c:f>flammability_chart!$X$30:$X$31</c:f>
              <c:numCache>
                <c:formatCode>General</c:formatCode>
                <c:ptCount val="2"/>
                <c:pt idx="0">
                  <c:v>80</c:v>
                </c:pt>
                <c:pt idx="1">
                  <c:v>80</c:v>
                </c:pt>
              </c:numCache>
            </c:numRef>
          </c:yVal>
          <c:smooth val="0"/>
          <c:extLst>
            <c:ext xmlns:c16="http://schemas.microsoft.com/office/drawing/2014/chart" uri="{C3380CC4-5D6E-409C-BE32-E72D297353CC}">
              <c16:uniqueId val="{00000017-1342-4E82-8926-1C74165B4D4B}"/>
            </c:ext>
          </c:extLst>
        </c:ser>
        <c:ser>
          <c:idx val="14"/>
          <c:order val="15"/>
          <c:tx>
            <c:v>Left Label</c:v>
          </c:tx>
          <c:spPr>
            <a:ln w="25400" cap="rnd">
              <a:noFill/>
              <a:round/>
            </a:ln>
            <a:effectLst/>
          </c:spPr>
          <c:marker>
            <c:symbol val="none"/>
          </c:marker>
          <c:dLbls>
            <c:dLbl>
              <c:idx val="0"/>
              <c:tx>
                <c:strRef>
                  <c:f>flammability_chart!$J$4</c:f>
                  <c:strCache>
                    <c:ptCount val="1"/>
                    <c:pt idx="0">
                      <c:v>O2</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dlblFieldTable>
                    <c15:dlblFTEntry>
                      <c15:txfldGUID>{30EB749D-9E14-4C30-A922-FB6F46E0B41A}</c15:txfldGUID>
                      <c15:f>flammability_chart!$J$4</c15:f>
                      <c15:dlblFieldTableCache>
                        <c:ptCount val="1"/>
                        <c:pt idx="0">
                          <c:v>O2</c:v>
                        </c:pt>
                      </c15:dlblFieldTableCache>
                    </c15:dlblFTEntry>
                  </c15:dlblFieldTable>
                  <c15:showDataLabelsRange val="0"/>
                </c:ext>
                <c:ext xmlns:c16="http://schemas.microsoft.com/office/drawing/2014/chart" uri="{C3380CC4-5D6E-409C-BE32-E72D297353CC}">
                  <c16:uniqueId val="{0000000B-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flammability_chart!$K$4</c:f>
              <c:numCache>
                <c:formatCode>General</c:formatCode>
                <c:ptCount val="1"/>
                <c:pt idx="0">
                  <c:v>0</c:v>
                </c:pt>
              </c:numCache>
            </c:numRef>
          </c:xVal>
          <c:yVal>
            <c:numRef>
              <c:f>flammability_chart!$L$4</c:f>
              <c:numCache>
                <c:formatCode>General</c:formatCode>
                <c:ptCount val="1"/>
                <c:pt idx="0">
                  <c:v>0</c:v>
                </c:pt>
              </c:numCache>
            </c:numRef>
          </c:yVal>
          <c:smooth val="0"/>
          <c:extLst>
            <c:ext xmlns:c16="http://schemas.microsoft.com/office/drawing/2014/chart" uri="{C3380CC4-5D6E-409C-BE32-E72D297353CC}">
              <c16:uniqueId val="{0000001D-1342-4E82-8926-1C74165B4D4B}"/>
            </c:ext>
          </c:extLst>
        </c:ser>
        <c:ser>
          <c:idx val="15"/>
          <c:order val="16"/>
          <c:tx>
            <c:v>Top Label</c:v>
          </c:tx>
          <c:spPr>
            <a:ln w="25400" cap="rnd">
              <a:noFill/>
              <a:round/>
            </a:ln>
            <a:effectLst/>
          </c:spPr>
          <c:marker>
            <c:symbol val="none"/>
          </c:marker>
          <c:dLbls>
            <c:dLbl>
              <c:idx val="0"/>
              <c:layout>
                <c:manualLayout>
                  <c:x val="-5.4421761848454424E-2"/>
                  <c:y val="-5.1510640800483468E-2"/>
                </c:manualLayout>
              </c:layout>
              <c:tx>
                <c:strRef>
                  <c:f>flammability_chart!$J$5</c:f>
                  <c:strCache>
                    <c:ptCount val="1"/>
                    <c:pt idx="0">
                      <c:v>Fuel</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{58F63B47-F19A-4FF2-8FCF-19DF598F2CBF}</c15:txfldGUID>
                      <c15:f>flammability_chart!$J$5</c15:f>
                      <c15:dlblFieldTableCache>
                        <c:ptCount val="1"/>
                        <c:pt idx="0">
                          <c:v>Fuel</c:v>
                        </c:pt>
                      </c15:dlblFieldTableCache>
                    </c15:dlblFTEntry>
                  </c15:dlblFieldTable>
                  <c15:showDataLabelsRange val="0"/>
                </c:ext>
                <c:ext xmlns:c16="http://schemas.microsoft.com/office/drawing/2014/chart" uri="{C3380CC4-5D6E-409C-BE32-E72D297353CC}">
                  <c16:uniqueId val="{0000000A-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flammability_chart!$K$5</c:f>
              <c:numCache>
                <c:formatCode>General</c:formatCode>
                <c:ptCount val="1"/>
                <c:pt idx="0">
                  <c:v>50</c:v>
                </c:pt>
              </c:numCache>
            </c:numRef>
          </c:xVal>
          <c:yVal>
            <c:numRef>
              <c:f>flammability_chart!$L$5</c:f>
              <c:numCache>
                <c:formatCode>General</c:formatCode>
                <c:ptCount val="1"/>
                <c:pt idx="0">
                  <c:v>100</c:v>
                </c:pt>
              </c:numCache>
            </c:numRef>
          </c:yVal>
          <c:smooth val="0"/>
          <c:extLst>
            <c:ext xmlns:c16="http://schemas.microsoft.com/office/drawing/2014/chart" uri="{C3380CC4-5D6E-409C-BE32-E72D297353CC}">
              <c16:uniqueId val="{0000001E-1342-4E82-8926-1C74165B4D4B}"/>
            </c:ext>
          </c:extLst>
        </c:ser>
        <c:ser>
          <c:idx val="16"/>
          <c:order val="17"/>
          <c:tx>
            <c:v>Right Label</c:v>
          </c:tx>
          <c:spPr>
            <a:ln w="25400" cap="rnd">
              <a:noFill/>
              <a:round/>
            </a:ln>
            <a:effectLst/>
          </c:spPr>
          <c:marker>
            <c:symbol val="none"/>
          </c:marker>
          <c:xVal>
            <c:numRef>
              <c:f>flammability_chart!$K$6</c:f>
              <c:numCache>
                <c:formatCode>General</c:formatCode>
                <c:ptCount val="1"/>
                <c:pt idx="0">
                  <c:v>100</c:v>
                </c:pt>
              </c:numCache>
            </c:numRef>
          </c:xVal>
          <c:yVal>
            <c:numRef>
              <c:f>flammability_chart!$L$6</c:f>
              <c:numCache>
                <c:formatCode>General</c:formatCode>
                <c:ptCount val="1"/>
                <c:pt idx="0">
                  <c:v>0</c:v>
                </c:pt>
              </c:numCache>
            </c:numRef>
          </c:yVal>
          <c:smooth val="0"/>
          <c:extLst>
            <c:ext xmlns:c16="http://schemas.microsoft.com/office/drawing/2014/chart" uri="{C3380CC4-5D6E-409C-BE32-E72D297353CC}">
              <c16:uniqueId val="{0000001F-1342-4E82-8926-1C74165B4D4B}"/>
            </c:ext>
          </c:extLst>
        </c:ser>
        <c:ser>
          <c:idx val="18"/>
          <c:order val="18"/>
          <c:tx>
            <c:strRef>
              <c:f>flammability_chart!$V$32</c:f>
              <c:strCache>
                <c:ptCount val="1"/>
                <c:pt idx="0">
                  <c:v>airLine</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dPt>
            <c:idx val="1"/>
            <c:marker>
              <c:symbol val="circle"/>
              <c:size val="5"/>
              <c:spPr>
                <a:solidFill>
                  <a:schemeClr val="accent1">
                    <a:lumMod val="80000"/>
                  </a:schemeClr>
                </a:solidFill>
                <a:ln w="9525">
                  <a:solidFill>
                    <a:schemeClr val="accent1">
                      <a:lumMod val="80000"/>
                    </a:schemeClr>
                  </a:solidFill>
                </a:ln>
                <a:effectLst/>
              </c:spPr>
            </c:marker>
            <c:bubble3D val="0"/>
            <c:spPr>
              <a:ln w="19050" cap="rnd">
                <a:solidFill>
                  <a:schemeClr val="accent2"/>
                </a:solidFill>
                <a:round/>
              </a:ln>
              <a:effectLst/>
            </c:spPr>
            <c:extLst>
              <c:ext xmlns:c16="http://schemas.microsoft.com/office/drawing/2014/chart" uri="{C3380CC4-5D6E-409C-BE32-E72D297353CC}">
                <c16:uniqueId val="{00000001-58A5-4FE8-9814-87F2DB05FC8A}"/>
              </c:ext>
            </c:extLst>
          </c:dPt>
          <c:dLbls>
            <c:dLbl>
              <c:idx val="0"/>
              <c:layout>
                <c:manualLayout>
                  <c:x val="-3.5214081196058865E-2"/>
                  <c:y val="6.33977117544411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a:t>Air</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8A5-4FE8-9814-87F2DB05FC8A}"/>
                </c:ext>
              </c:extLst>
            </c:dLbl>
            <c:dLbl>
              <c:idx val="1"/>
              <c:delete val="1"/>
              <c:extLst>
                <c:ext xmlns:c15="http://schemas.microsoft.com/office/drawing/2012/chart" uri="{CE6537A1-D6FC-4f65-9D91-7224C49458BB}"/>
                <c:ext xmlns:c16="http://schemas.microsoft.com/office/drawing/2014/chart" uri="{C3380CC4-5D6E-409C-BE32-E72D297353CC}">
                  <c16:uniqueId val="{00000001-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flammability_chart!$W$32:$W$33</c:f>
              <c:numCache>
                <c:formatCode>General</c:formatCode>
                <c:ptCount val="2"/>
                <c:pt idx="0">
                  <c:v>79</c:v>
                </c:pt>
                <c:pt idx="1">
                  <c:v>50</c:v>
                </c:pt>
              </c:numCache>
            </c:numRef>
          </c:xVal>
          <c:yVal>
            <c:numRef>
              <c:f>flammability_chart!$X$32:$X$33</c:f>
              <c:numCache>
                <c:formatCode>General</c:formatCode>
                <c:ptCount val="2"/>
                <c:pt idx="0">
                  <c:v>0</c:v>
                </c:pt>
                <c:pt idx="1">
                  <c:v>100</c:v>
                </c:pt>
              </c:numCache>
            </c:numRef>
          </c:yVal>
          <c:smooth val="0"/>
          <c:extLst>
            <c:ext xmlns:c16="http://schemas.microsoft.com/office/drawing/2014/chart" uri="{C3380CC4-5D6E-409C-BE32-E72D297353CC}">
              <c16:uniqueId val="{00000000-7877-4754-8BCE-500DCD50F8EA}"/>
            </c:ext>
          </c:extLst>
        </c:ser>
        <c:ser>
          <c:idx val="19"/>
          <c:order val="19"/>
          <c:tx>
            <c:strRef>
              <c:f>flammability_chart!$V$34</c:f>
              <c:strCache>
                <c:ptCount val="1"/>
                <c:pt idx="0">
                  <c:v>LFL in air</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dLbls>
            <c:dLbl>
              <c:idx val="0"/>
              <c:layout>
                <c:manualLayout>
                  <c:x val="-0.22408960761128299"/>
                  <c:y val="-0.15453192240145047"/>
                </c:manualLayout>
              </c:layout>
              <c:tx>
                <c:strRef>
                  <c:f>flammability_chart!$V$34</c:f>
                  <c:strCache>
                    <c:ptCount val="1"/>
                    <c:pt idx="0">
                      <c:v>LFL in air</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dlblFTEntry>
                      <c15:txfldGUID>{44E06B61-E580-44F1-99A9-1844CDBB524E}</c15:txfldGUID>
                      <c15:f>flammability_chart!$V$34</c15:f>
                      <c15:dlblFieldTableCache>
                        <c:ptCount val="1"/>
                        <c:pt idx="0">
                          <c:v>LFL in air</c:v>
                        </c:pt>
                      </c15:dlblFieldTableCache>
                    </c15:dlblFTEntry>
                  </c15:dlblFieldTable>
                  <c15:showDataLabelsRange val="0"/>
                </c:ext>
                <c:ext xmlns:c16="http://schemas.microsoft.com/office/drawing/2014/chart" uri="{C3380CC4-5D6E-409C-BE32-E72D297353CC}">
                  <c16:uniqueId val="{00000010-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flammability_chart!$W$34</c:f>
              <c:numCache>
                <c:formatCode>General</c:formatCode>
                <c:ptCount val="1"/>
                <c:pt idx="0">
                  <c:v>78.216999999999999</c:v>
                </c:pt>
              </c:numCache>
            </c:numRef>
          </c:xVal>
          <c:yVal>
            <c:numRef>
              <c:f>flammability_chart!$X$34</c:f>
              <c:numCache>
                <c:formatCode>General</c:formatCode>
                <c:ptCount val="1"/>
                <c:pt idx="0">
                  <c:v>2.7</c:v>
                </c:pt>
              </c:numCache>
            </c:numRef>
          </c:yVal>
          <c:smooth val="0"/>
          <c:extLst>
            <c:ext xmlns:c16="http://schemas.microsoft.com/office/drawing/2014/chart" uri="{C3380CC4-5D6E-409C-BE32-E72D297353CC}">
              <c16:uniqueId val="{00000002-58A5-4FE8-9814-87F2DB05FC8A}"/>
            </c:ext>
          </c:extLst>
        </c:ser>
        <c:ser>
          <c:idx val="20"/>
          <c:order val="20"/>
          <c:tx>
            <c:strRef>
              <c:f>flammability_chart!$V$35</c:f>
              <c:strCache>
                <c:ptCount val="1"/>
                <c:pt idx="0">
                  <c:v>UFL in air</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dLbls>
            <c:dLbl>
              <c:idx val="0"/>
              <c:layout>
                <c:manualLayout>
                  <c:x val="9.2837123153245785E-2"/>
                  <c:y val="-5.9435354769788694E-2"/>
                </c:manualLayout>
              </c:layout>
              <c:tx>
                <c:strRef>
                  <c:f>flammability_chart!$V$35</c:f>
                  <c:strCache>
                    <c:ptCount val="1"/>
                    <c:pt idx="0">
                      <c:v>UFL in air</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dlblFTEntry>
                      <c15:txfldGUID>{84A199CC-06C4-479D-9C85-D7C9E9106258}</c15:txfldGUID>
                      <c15:f>flammability_chart!$V$35</c15:f>
                      <c15:dlblFieldTableCache>
                        <c:ptCount val="1"/>
                        <c:pt idx="0">
                          <c:v>UFL in air</c:v>
                        </c:pt>
                      </c15:dlblFieldTableCache>
                    </c15:dlblFTEntry>
                  </c15:dlblFieldTable>
                  <c15:showDataLabelsRange val="0"/>
                </c:ext>
                <c:ext xmlns:c16="http://schemas.microsoft.com/office/drawing/2014/chart" uri="{C3380CC4-5D6E-409C-BE32-E72D297353CC}">
                  <c16:uniqueId val="{0000000D-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flammability_chart!$W$35</c:f>
              <c:numCache>
                <c:formatCode>General</c:formatCode>
                <c:ptCount val="1"/>
                <c:pt idx="0">
                  <c:v>68.559999999999988</c:v>
                </c:pt>
              </c:numCache>
            </c:numRef>
          </c:xVal>
          <c:yVal>
            <c:numRef>
              <c:f>flammability_chart!$X$35</c:f>
              <c:numCache>
                <c:formatCode>General</c:formatCode>
                <c:ptCount val="1"/>
                <c:pt idx="0">
                  <c:v>36</c:v>
                </c:pt>
              </c:numCache>
            </c:numRef>
          </c:yVal>
          <c:smooth val="0"/>
          <c:extLst>
            <c:ext xmlns:c16="http://schemas.microsoft.com/office/drawing/2014/chart" uri="{C3380CC4-5D6E-409C-BE32-E72D297353CC}">
              <c16:uniqueId val="{00000003-58A5-4FE8-9814-87F2DB05FC8A}"/>
            </c:ext>
          </c:extLst>
        </c:ser>
        <c:ser>
          <c:idx val="21"/>
          <c:order val="21"/>
          <c:tx>
            <c:strRef>
              <c:f>flammability_chart!$V$36</c:f>
              <c:strCache>
                <c:ptCount val="1"/>
                <c:pt idx="0">
                  <c:v>Cst</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flammability_chart!$W$36</c:f>
              <c:numCache>
                <c:formatCode>General</c:formatCode>
                <c:ptCount val="1"/>
                <c:pt idx="0">
                  <c:v>12.5</c:v>
                </c:pt>
              </c:numCache>
            </c:numRef>
          </c:xVal>
          <c:yVal>
            <c:numRef>
              <c:f>flammability_chart!$X$36</c:f>
              <c:numCache>
                <c:formatCode>General</c:formatCode>
                <c:ptCount val="1"/>
                <c:pt idx="0">
                  <c:v>25</c:v>
                </c:pt>
              </c:numCache>
            </c:numRef>
          </c:yVal>
          <c:smooth val="0"/>
          <c:extLst>
            <c:ext xmlns:c16="http://schemas.microsoft.com/office/drawing/2014/chart" uri="{C3380CC4-5D6E-409C-BE32-E72D297353CC}">
              <c16:uniqueId val="{00000004-58A5-4FE8-9814-87F2DB05FC8A}"/>
            </c:ext>
          </c:extLst>
        </c:ser>
        <c:dLbls>
          <c:showLegendKey val="0"/>
          <c:showVal val="0"/>
          <c:showCatName val="0"/>
          <c:showSerName val="0"/>
          <c:showPercent val="0"/>
          <c:showBubbleSize val="0"/>
        </c:dLbls>
        <c:axId val="554838808"/>
        <c:axId val="554841760"/>
      </c:scatterChart>
      <c:scatterChart>
        <c:scatterStyle val="smoothMarker"/>
        <c:varyColors val="0"/>
        <c:ser>
          <c:idx val="22"/>
          <c:order val="22"/>
          <c:tx>
            <c:strRef>
              <c:f>flammability_chart!$V$37</c:f>
              <c:strCache>
                <c:ptCount val="1"/>
                <c:pt idx="0">
                  <c:v>Cst Line</c:v>
                </c:pt>
              </c:strCache>
            </c:strRef>
          </c:tx>
          <c:spPr>
            <a:ln w="19050"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dPt>
            <c:idx val="1"/>
            <c:marker>
              <c:symbol val="circle"/>
              <c:size val="5"/>
              <c:spPr>
                <a:solidFill>
                  <a:schemeClr val="accent5">
                    <a:lumMod val="80000"/>
                  </a:schemeClr>
                </a:solidFill>
                <a:ln w="9525">
                  <a:solidFill>
                    <a:schemeClr val="accent5">
                      <a:lumMod val="80000"/>
                    </a:schemeClr>
                  </a:solidFill>
                </a:ln>
                <a:effectLst/>
              </c:spPr>
            </c:marker>
            <c:bubble3D val="0"/>
            <c:spPr>
              <a:ln w="19050" cap="rnd">
                <a:solidFill>
                  <a:schemeClr val="accent2"/>
                </a:solidFill>
                <a:round/>
              </a:ln>
              <a:effectLst/>
            </c:spPr>
            <c:extLst>
              <c:ext xmlns:c16="http://schemas.microsoft.com/office/drawing/2014/chart" uri="{C3380CC4-5D6E-409C-BE32-E72D297353CC}">
                <c16:uniqueId val="{00000006-58A5-4FE8-9814-87F2DB05FC8A}"/>
              </c:ext>
            </c:extLst>
          </c:dPt>
          <c:dLbls>
            <c:dLbl>
              <c:idx val="0"/>
              <c:tx>
                <c:strRef>
                  <c:f>flammability_chart!$V$36</c:f>
                  <c:strCache>
                    <c:ptCount val="1"/>
                    <c:pt idx="0">
                      <c:v>Cst</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15:dlblFieldTable>
                    <c15:dlblFTEntry>
                      <c15:txfldGUID>{58B6BE64-E5EA-45EF-88AA-3780E181D93F}</c15:txfldGUID>
                      <c15:f>flammability_chart!$V$36</c15:f>
                      <c15:dlblFieldTableCache>
                        <c:ptCount val="1"/>
                        <c:pt idx="0">
                          <c:v>Cst</c:v>
                        </c:pt>
                      </c15:dlblFieldTableCache>
                    </c15:dlblFTEntry>
                  </c15:dlblFieldTable>
                  <c15:showDataLabelsRange val="0"/>
                </c:ext>
                <c:ext xmlns:c16="http://schemas.microsoft.com/office/drawing/2014/chart" uri="{C3380CC4-5D6E-409C-BE32-E72D297353CC}">
                  <c16:uniqueId val="{0000000C-58A5-4FE8-9814-87F2DB05FC8A}"/>
                </c:ext>
              </c:extLst>
            </c:dLbl>
            <c:dLbl>
              <c:idx val="1"/>
              <c:layout>
                <c:manualLayout>
                  <c:x val="-4.7699073620117109E-3"/>
                  <c:y val="5.1510640800483322E-2"/>
                </c:manualLayout>
              </c:layout>
              <c:tx>
                <c:strRef>
                  <c:f>flammability_chart!$J$6</c:f>
                  <c:strCache>
                    <c:ptCount val="1"/>
                    <c:pt idx="0">
                      <c:v>N2</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{0470AE7C-05FB-4CDD-AC73-1115FCEA244C}</c15:txfldGUID>
                      <c15:f>flammability_chart!$J$6</c15:f>
                      <c15:dlblFieldTableCache>
                        <c:ptCount val="1"/>
                        <c:pt idx="0">
                          <c:v>N2</c:v>
                        </c:pt>
                      </c15:dlblFieldTableCache>
                    </c15:dlblFTEntry>
                  </c15:dlblFieldTable>
                  <c15:showDataLabelsRange val="0"/>
                </c:ext>
                <c:ext xmlns:c16="http://schemas.microsoft.com/office/drawing/2014/chart" uri="{C3380CC4-5D6E-409C-BE32-E72D297353CC}">
                  <c16:uniqueId val="{00000006-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flammability_chart!$W$37:$W$38</c:f>
              <c:numCache>
                <c:formatCode>General</c:formatCode>
                <c:ptCount val="2"/>
                <c:pt idx="0">
                  <c:v>12.5</c:v>
                </c:pt>
                <c:pt idx="1">
                  <c:v>100</c:v>
                </c:pt>
              </c:numCache>
            </c:numRef>
          </c:xVal>
          <c:yVal>
            <c:numRef>
              <c:f>flammability_chart!$X$37:$X$38</c:f>
              <c:numCache>
                <c:formatCode>General</c:formatCode>
                <c:ptCount val="2"/>
                <c:pt idx="0">
                  <c:v>25</c:v>
                </c:pt>
                <c:pt idx="1">
                  <c:v>0</c:v>
                </c:pt>
              </c:numCache>
            </c:numRef>
          </c:yVal>
          <c:smooth val="1"/>
          <c:extLst>
            <c:ext xmlns:c16="http://schemas.microsoft.com/office/drawing/2014/chart" uri="{C3380CC4-5D6E-409C-BE32-E72D297353CC}">
              <c16:uniqueId val="{00000005-58A5-4FE8-9814-87F2DB05FC8A}"/>
            </c:ext>
          </c:extLst>
        </c:ser>
        <c:ser>
          <c:idx val="23"/>
          <c:order val="23"/>
          <c:tx>
            <c:strRef>
              <c:f>flammability_chart!$V$39</c:f>
              <c:strCache>
                <c:ptCount val="1"/>
                <c:pt idx="0">
                  <c:v>LFL in O2</c:v>
                </c:pt>
              </c:strCache>
            </c:strRef>
          </c:tx>
          <c:spPr>
            <a:ln w="19050"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dLbls>
            <c:dLbl>
              <c:idx val="0"/>
              <c:layout>
                <c:manualLayout>
                  <c:x val="-0.12484992424057191"/>
                  <c:y val="-8.3209496677704206E-2"/>
                </c:manualLayout>
              </c:layout>
              <c:tx>
                <c:strRef>
                  <c:f>flammability_chart!$Q$24</c:f>
                  <c:strCache>
                    <c:ptCount val="1"/>
                    <c:pt idx="0">
                      <c:v>UFL in O2</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dlblFTEntry>
                      <c15:txfldGUID>{CCCAB070-23D6-49EC-A511-66742656F694}</c15:txfldGUID>
                      <c15:f>flammability_chart!$Q$24</c15:f>
                      <c15:dlblFieldTableCache>
                        <c:ptCount val="1"/>
                        <c:pt idx="0">
                          <c:v>UFL in O2</c:v>
                        </c:pt>
                      </c15:dlblFieldTableCache>
                    </c15:dlblFTEntry>
                  </c15:dlblFieldTable>
                  <c15:showDataLabelsRange val="0"/>
                </c:ext>
                <c:ext xmlns:c16="http://schemas.microsoft.com/office/drawing/2014/chart" uri="{C3380CC4-5D6E-409C-BE32-E72D297353CC}">
                  <c16:uniqueId val="{0000000F-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flammability_chart!$W$39</c:f>
              <c:numCache>
                <c:formatCode>General</c:formatCode>
                <c:ptCount val="1"/>
                <c:pt idx="0">
                  <c:v>1.5</c:v>
                </c:pt>
              </c:numCache>
            </c:numRef>
          </c:xVal>
          <c:yVal>
            <c:numRef>
              <c:f>flammability_chart!$X$39</c:f>
              <c:numCache>
                <c:formatCode>General</c:formatCode>
                <c:ptCount val="1"/>
                <c:pt idx="0">
                  <c:v>3</c:v>
                </c:pt>
              </c:numCache>
            </c:numRef>
          </c:yVal>
          <c:smooth val="1"/>
          <c:extLst>
            <c:ext xmlns:c16="http://schemas.microsoft.com/office/drawing/2014/chart" uri="{C3380CC4-5D6E-409C-BE32-E72D297353CC}">
              <c16:uniqueId val="{00000007-58A5-4FE8-9814-87F2DB05FC8A}"/>
            </c:ext>
          </c:extLst>
        </c:ser>
        <c:ser>
          <c:idx val="24"/>
          <c:order val="24"/>
          <c:tx>
            <c:strRef>
              <c:f>flammability_chart!$V$40</c:f>
              <c:strCache>
                <c:ptCount val="1"/>
                <c:pt idx="0">
                  <c:v>UFL in O2</c:v>
                </c:pt>
              </c:strCache>
            </c:strRef>
          </c:tx>
          <c:spPr>
            <a:ln w="19050"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s>
            <c:dLbl>
              <c:idx val="0"/>
              <c:layout>
                <c:manualLayout>
                  <c:x val="-0.18247296619775899"/>
                  <c:y val="3.962356984652575E-3"/>
                </c:manualLayout>
              </c:layout>
              <c:tx>
                <c:strRef>
                  <c:f>flammability_chart!$Q$24</c:f>
                  <c:strCache>
                    <c:ptCount val="1"/>
                    <c:pt idx="0">
                      <c:v>UFL in O2</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dlblFTEntry>
                      <c15:txfldGUID>{87608F75-6905-44DB-9455-9D3419FE4190}</c15:txfldGUID>
                      <c15:f>flammability_chart!$Q$24</c15:f>
                      <c15:dlblFieldTableCache>
                        <c:ptCount val="1"/>
                        <c:pt idx="0">
                          <c:v>UFL in O2</c:v>
                        </c:pt>
                      </c15:dlblFieldTableCache>
                    </c15:dlblFTEntry>
                  </c15:dlblFieldTable>
                  <c15:showDataLabelsRange val="0"/>
                </c:ext>
                <c:ext xmlns:c16="http://schemas.microsoft.com/office/drawing/2014/chart" uri="{C3380CC4-5D6E-409C-BE32-E72D297353CC}">
                  <c16:uniqueId val="{0000000E-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flammability_chart!$W$40</c:f>
              <c:numCache>
                <c:formatCode>General</c:formatCode>
                <c:ptCount val="1"/>
                <c:pt idx="0">
                  <c:v>40</c:v>
                </c:pt>
              </c:numCache>
            </c:numRef>
          </c:xVal>
          <c:yVal>
            <c:numRef>
              <c:f>flammability_chart!$X$40</c:f>
              <c:numCache>
                <c:formatCode>General</c:formatCode>
                <c:ptCount val="1"/>
                <c:pt idx="0">
                  <c:v>80</c:v>
                </c:pt>
              </c:numCache>
            </c:numRef>
          </c:yVal>
          <c:smooth val="1"/>
          <c:extLst>
            <c:ext xmlns:c16="http://schemas.microsoft.com/office/drawing/2014/chart" uri="{C3380CC4-5D6E-409C-BE32-E72D297353CC}">
              <c16:uniqueId val="{00000008-58A5-4FE8-9814-87F2DB05FC8A}"/>
            </c:ext>
          </c:extLst>
        </c:ser>
        <c:ser>
          <c:idx val="25"/>
          <c:order val="25"/>
          <c:tx>
            <c:strRef>
              <c:f>flammability_chart!$V$41</c:f>
              <c:strCache>
                <c:ptCount val="1"/>
                <c:pt idx="0">
                  <c:v>MOC</c:v>
                </c:pt>
              </c:strCache>
            </c:strRef>
          </c:tx>
          <c:spPr>
            <a:ln w="19050"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s>
            <c:dLbl>
              <c:idx val="0"/>
              <c:layout>
                <c:manualLayout>
                  <c:x val="-6.4025602174653442E-3"/>
                  <c:y val="-7.5284782708399056E-2"/>
                </c:manualLayout>
              </c:layout>
              <c:tx>
                <c:strRef>
                  <c:f>flammability_chart!$Q$25</c:f>
                  <c:strCache>
                    <c:ptCount val="1"/>
                    <c:pt idx="0">
                      <c:v>MOC</c:v>
                    </c:pt>
                  </c:strCache>
                </c:strRef>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dlblFTEntry>
                      <c15:txfldGUID>{D1E63B63-F645-4F9A-967B-38A4FB1F002C}</c15:txfldGUID>
                      <c15:f>flammability_chart!$Q$25</c15:f>
                      <c15:dlblFieldTableCache>
                        <c:ptCount val="1"/>
                        <c:pt idx="0">
                          <c:v>MOC</c:v>
                        </c:pt>
                      </c15:dlblFieldTableCache>
                    </c15:dlblFTEntry>
                  </c15:dlblFieldTable>
                  <c15:showDataLabelsRange val="0"/>
                </c:ext>
                <c:ext xmlns:c16="http://schemas.microsoft.com/office/drawing/2014/chart" uri="{C3380CC4-5D6E-409C-BE32-E72D297353CC}">
                  <c16:uniqueId val="{00000012-58A5-4FE8-9814-87F2DB05FC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flammability_chart!$W$41</c:f>
              <c:numCache>
                <c:formatCode>General</c:formatCode>
                <c:ptCount val="1"/>
                <c:pt idx="0">
                  <c:v>95.95</c:v>
                </c:pt>
              </c:numCache>
            </c:numRef>
          </c:xVal>
          <c:yVal>
            <c:numRef>
              <c:f>flammability_chart!$X$41</c:f>
              <c:numCache>
                <c:formatCode>General</c:formatCode>
                <c:ptCount val="1"/>
                <c:pt idx="0">
                  <c:v>1.1571428571428584</c:v>
                </c:pt>
              </c:numCache>
            </c:numRef>
          </c:yVal>
          <c:smooth val="1"/>
          <c:extLst>
            <c:ext xmlns:c16="http://schemas.microsoft.com/office/drawing/2014/chart" uri="{C3380CC4-5D6E-409C-BE32-E72D297353CC}">
              <c16:uniqueId val="{00000009-58A5-4FE8-9814-87F2DB05FC8A}"/>
            </c:ext>
          </c:extLst>
        </c:ser>
        <c:dLbls>
          <c:showLegendKey val="0"/>
          <c:showVal val="0"/>
          <c:showCatName val="0"/>
          <c:showSerName val="0"/>
          <c:showPercent val="0"/>
          <c:showBubbleSize val="0"/>
        </c:dLbls>
        <c:axId val="554838808"/>
        <c:axId val="554841760"/>
      </c:scatterChart>
      <c:valAx>
        <c:axId val="554838808"/>
        <c:scaling>
          <c:orientation val="minMax"/>
          <c:min val="-10"/>
        </c:scaling>
        <c:delete val="1"/>
        <c:axPos val="b"/>
        <c:numFmt formatCode="0.00" sourceLinked="1"/>
        <c:majorTickMark val="out"/>
        <c:minorTickMark val="none"/>
        <c:tickLblPos val="nextTo"/>
        <c:crossAx val="554841760"/>
        <c:crosses val="autoZero"/>
        <c:crossBetween val="midCat"/>
      </c:valAx>
      <c:valAx>
        <c:axId val="554841760"/>
        <c:scaling>
          <c:orientation val="minMax"/>
          <c:min val="-10"/>
        </c:scaling>
        <c:delete val="1"/>
        <c:axPos val="l"/>
        <c:numFmt formatCode="0.00" sourceLinked="1"/>
        <c:majorTickMark val="out"/>
        <c:minorTickMark val="none"/>
        <c:tickLblPos val="nextTo"/>
        <c:crossAx val="554838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12</xdr:col>
      <xdr:colOff>328612</xdr:colOff>
      <xdr:row>1</xdr:row>
      <xdr:rowOff>52386</xdr:rowOff>
    </xdr:from>
    <xdr:to>
      <xdr:col>19</xdr:col>
      <xdr:colOff>161925</xdr:colOff>
      <xdr:row>17</xdr:row>
      <xdr:rowOff>180974</xdr:rowOff>
    </xdr:to>
    <xdr:graphicFrame macro="">
      <xdr:nvGraphicFramePr>
        <xdr:cNvPr id="2" name="Chart 1">
          <a:extLst>
            <a:ext uri="{FF2B5EF4-FFF2-40B4-BE49-F238E27FC236}">
              <a16:creationId xmlns:a16="http://schemas.microsoft.com/office/drawing/2014/main" id="{14D87957-6C4D-48CD-A439-76FC906C0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161925</xdr:colOff>
      <xdr:row>4</xdr:row>
      <xdr:rowOff>114300</xdr:rowOff>
    </xdr:from>
    <xdr:to>
      <xdr:col>7</xdr:col>
      <xdr:colOff>333375</xdr:colOff>
      <xdr:row>6</xdr:row>
      <xdr:rowOff>180975</xdr:rowOff>
    </xdr:to>
    <xdr:sp macro="" textlink="">
      <xdr:nvSpPr>
        <xdr:cNvPr id="5" name="Speech Bubble: Rectangle 4">
          <a:extLst>
            <a:ext uri="{FF2B5EF4-FFF2-40B4-BE49-F238E27FC236}">
              <a16:creationId xmlns:a16="http://schemas.microsoft.com/office/drawing/2014/main" id="{732C4332-AE45-456F-8E45-0C06B91BF964}"/>
            </a:ext>
          </a:extLst>
        </xdr:cNvPr>
        <xdr:cNvSpPr/>
      </xdr:nvSpPr>
      <xdr:spPr>
        <a:xfrm>
          <a:off x="2695575" y="933450"/>
          <a:ext cx="1066800" cy="457200"/>
        </a:xfrm>
        <a:prstGeom prst="wedgeRectCallout">
          <a:avLst>
            <a:gd name="adj1" fmla="val 100839"/>
            <a:gd name="adj2" fmla="val -4470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Enter Corner</a:t>
          </a:r>
        </a:p>
        <a:p>
          <a:pPr algn="l"/>
          <a:r>
            <a:rPr lang="en-US" sz="1100"/>
            <a:t>Labels</a:t>
          </a:r>
          <a:r>
            <a:rPr lang="en-US" sz="1100" baseline="0"/>
            <a:t> Here</a:t>
          </a:r>
          <a:endParaRPr lang="en-US" sz="1100"/>
        </a:p>
      </xdr:txBody>
    </xdr:sp>
    <xdr:clientData/>
  </xdr:twoCellAnchor>
  <xdr:twoCellAnchor editAs="oneCell">
    <xdr:from>
      <xdr:col>10</xdr:col>
      <xdr:colOff>0</xdr:colOff>
      <xdr:row>33</xdr:row>
      <xdr:rowOff>0</xdr:rowOff>
    </xdr:from>
    <xdr:to>
      <xdr:col>16</xdr:col>
      <xdr:colOff>456639</xdr:colOff>
      <xdr:row>35</xdr:row>
      <xdr:rowOff>171381</xdr:rowOff>
    </xdr:to>
    <xdr:pic>
      <xdr:nvPicPr>
        <xdr:cNvPr id="3" name="Picture 2">
          <a:extLst>
            <a:ext uri="{FF2B5EF4-FFF2-40B4-BE49-F238E27FC236}">
              <a16:creationId xmlns:a16="http://schemas.microsoft.com/office/drawing/2014/main" id="{938A642B-4442-407C-B4D2-961B698EAD01}"/>
            </a:ext>
          </a:extLst>
        </xdr:cNvPr>
        <xdr:cNvPicPr>
          <a:picLocks noChangeAspect="1"/>
        </xdr:cNvPicPr>
      </xdr:nvPicPr>
      <xdr:blipFill>
        <a:blip xmlns:r="http://schemas.openxmlformats.org/officeDocument/2006/relationships" r:embed="rId2"/>
        <a:stretch>
          <a:fillRect/>
        </a:stretch>
      </xdr:blipFill>
      <xdr:spPr>
        <a:xfrm>
          <a:off x="4772025" y="6381750"/>
          <a:ext cx="4485714" cy="5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19050</xdr:colOff>
      <xdr:row>0</xdr:row>
      <xdr:rowOff>152402</xdr:rowOff>
    </xdr:from>
    <xdr:to>
      <xdr:col>22</xdr:col>
      <xdr:colOff>457200</xdr:colOff>
      <xdr:row>2</xdr:row>
      <xdr:rowOff>576836</xdr:rowOff>
    </xdr:to>
    <xdr:pic>
      <xdr:nvPicPr>
        <xdr:cNvPr id="2" name="Picture 1">
          <a:extLst>
            <a:ext uri="{FF2B5EF4-FFF2-40B4-BE49-F238E27FC236}">
              <a16:creationId xmlns:a16="http://schemas.microsoft.com/office/drawing/2014/main" id="{5309A65F-3601-EBA7-5AA9-58F94849F440}"/>
            </a:ext>
          </a:extLst>
        </xdr:cNvPr>
        <xdr:cNvPicPr>
          <a:picLocks noChangeAspect="1"/>
        </xdr:cNvPicPr>
      </xdr:nvPicPr>
      <xdr:blipFill>
        <a:blip xmlns:r="http://schemas.openxmlformats.org/officeDocument/2006/relationships" r:embed="rId1"/>
        <a:stretch>
          <a:fillRect/>
        </a:stretch>
      </xdr:blipFill>
      <xdr:spPr>
        <a:xfrm>
          <a:off x="13011150" y="152402"/>
          <a:ext cx="2876550" cy="805434"/>
        </a:xfrm>
        <a:prstGeom prst="rect">
          <a:avLst/>
        </a:prstGeom>
      </xdr:spPr>
    </xdr:pic>
    <xdr:clientData/>
  </xdr:twoCellAnchor>
  <xdr:twoCellAnchor editAs="oneCell">
    <xdr:from>
      <xdr:col>15</xdr:col>
      <xdr:colOff>9526</xdr:colOff>
      <xdr:row>17</xdr:row>
      <xdr:rowOff>133350</xdr:rowOff>
    </xdr:from>
    <xdr:to>
      <xdr:col>15</xdr:col>
      <xdr:colOff>876300</xdr:colOff>
      <xdr:row>20</xdr:row>
      <xdr:rowOff>45892</xdr:rowOff>
    </xdr:to>
    <xdr:pic>
      <xdr:nvPicPr>
        <xdr:cNvPr id="3" name="Picture 2">
          <a:extLst>
            <a:ext uri="{FF2B5EF4-FFF2-40B4-BE49-F238E27FC236}">
              <a16:creationId xmlns:a16="http://schemas.microsoft.com/office/drawing/2014/main" id="{BE4DD585-CEFA-FEB6-30B8-C0C9E29F4D17}"/>
            </a:ext>
          </a:extLst>
        </xdr:cNvPr>
        <xdr:cNvPicPr>
          <a:picLocks noChangeAspect="1"/>
        </xdr:cNvPicPr>
      </xdr:nvPicPr>
      <xdr:blipFill>
        <a:blip xmlns:r="http://schemas.openxmlformats.org/officeDocument/2006/relationships" r:embed="rId2"/>
        <a:stretch>
          <a:fillRect/>
        </a:stretch>
      </xdr:blipFill>
      <xdr:spPr>
        <a:xfrm>
          <a:off x="10915651" y="4476750"/>
          <a:ext cx="866774" cy="484042"/>
        </a:xfrm>
        <a:prstGeom prst="rect">
          <a:avLst/>
        </a:prstGeom>
      </xdr:spPr>
    </xdr:pic>
    <xdr:clientData/>
  </xdr:twoCellAnchor>
  <xdr:twoCellAnchor editAs="oneCell">
    <xdr:from>
      <xdr:col>16</xdr:col>
      <xdr:colOff>114300</xdr:colOff>
      <xdr:row>17</xdr:row>
      <xdr:rowOff>38100</xdr:rowOff>
    </xdr:from>
    <xdr:to>
      <xdr:col>16</xdr:col>
      <xdr:colOff>693127</xdr:colOff>
      <xdr:row>19</xdr:row>
      <xdr:rowOff>133350</xdr:rowOff>
    </xdr:to>
    <xdr:pic>
      <xdr:nvPicPr>
        <xdr:cNvPr id="4" name="Picture 3">
          <a:extLst>
            <a:ext uri="{FF2B5EF4-FFF2-40B4-BE49-F238E27FC236}">
              <a16:creationId xmlns:a16="http://schemas.microsoft.com/office/drawing/2014/main" id="{C6B25F76-F467-861E-1649-4AD9CA6C8180}"/>
            </a:ext>
          </a:extLst>
        </xdr:cNvPr>
        <xdr:cNvPicPr>
          <a:picLocks noChangeAspect="1"/>
        </xdr:cNvPicPr>
      </xdr:nvPicPr>
      <xdr:blipFill>
        <a:blip xmlns:r="http://schemas.openxmlformats.org/officeDocument/2006/relationships" r:embed="rId3"/>
        <a:stretch>
          <a:fillRect/>
        </a:stretch>
      </xdr:blipFill>
      <xdr:spPr>
        <a:xfrm>
          <a:off x="11925300" y="4381500"/>
          <a:ext cx="578827" cy="476250"/>
        </a:xfrm>
        <a:prstGeom prst="rect">
          <a:avLst/>
        </a:prstGeom>
      </xdr:spPr>
    </xdr:pic>
    <xdr:clientData/>
  </xdr:twoCellAnchor>
  <xdr:twoCellAnchor editAs="oneCell">
    <xdr:from>
      <xdr:col>17</xdr:col>
      <xdr:colOff>238125</xdr:colOff>
      <xdr:row>22</xdr:row>
      <xdr:rowOff>19050</xdr:rowOff>
    </xdr:from>
    <xdr:to>
      <xdr:col>20</xdr:col>
      <xdr:colOff>46556</xdr:colOff>
      <xdr:row>25</xdr:row>
      <xdr:rowOff>161925</xdr:rowOff>
    </xdr:to>
    <xdr:pic>
      <xdr:nvPicPr>
        <xdr:cNvPr id="6" name="Picture 5">
          <a:extLst>
            <a:ext uri="{FF2B5EF4-FFF2-40B4-BE49-F238E27FC236}">
              <a16:creationId xmlns:a16="http://schemas.microsoft.com/office/drawing/2014/main" id="{89E3E9E9-0143-EA06-0A7B-38958171FB37}"/>
            </a:ext>
          </a:extLst>
        </xdr:cNvPr>
        <xdr:cNvPicPr>
          <a:picLocks noChangeAspect="1"/>
        </xdr:cNvPicPr>
      </xdr:nvPicPr>
      <xdr:blipFill>
        <a:blip xmlns:r="http://schemas.openxmlformats.org/officeDocument/2006/relationships" r:embed="rId4"/>
        <a:stretch>
          <a:fillRect/>
        </a:stretch>
      </xdr:blipFill>
      <xdr:spPr>
        <a:xfrm>
          <a:off x="12954000" y="5314950"/>
          <a:ext cx="2208731" cy="714375"/>
        </a:xfrm>
        <a:prstGeom prst="rect">
          <a:avLst/>
        </a:prstGeom>
      </xdr:spPr>
    </xdr:pic>
    <xdr:clientData/>
  </xdr:twoCellAnchor>
  <xdr:twoCellAnchor editAs="oneCell">
    <xdr:from>
      <xdr:col>0</xdr:col>
      <xdr:colOff>0</xdr:colOff>
      <xdr:row>24</xdr:row>
      <xdr:rowOff>0</xdr:rowOff>
    </xdr:from>
    <xdr:to>
      <xdr:col>1</xdr:col>
      <xdr:colOff>666750</xdr:colOff>
      <xdr:row>27</xdr:row>
      <xdr:rowOff>141266</xdr:rowOff>
    </xdr:to>
    <xdr:pic>
      <xdr:nvPicPr>
        <xdr:cNvPr id="7" name="Picture 6">
          <a:extLst>
            <a:ext uri="{FF2B5EF4-FFF2-40B4-BE49-F238E27FC236}">
              <a16:creationId xmlns:a16="http://schemas.microsoft.com/office/drawing/2014/main" id="{FAA95723-85AF-49B6-A330-98DC22D5ECCF}"/>
            </a:ext>
          </a:extLst>
        </xdr:cNvPr>
        <xdr:cNvPicPr>
          <a:picLocks noChangeAspect="1"/>
        </xdr:cNvPicPr>
      </xdr:nvPicPr>
      <xdr:blipFill>
        <a:blip xmlns:r="http://schemas.openxmlformats.org/officeDocument/2006/relationships" r:embed="rId2"/>
        <a:stretch>
          <a:fillRect/>
        </a:stretch>
      </xdr:blipFill>
      <xdr:spPr>
        <a:xfrm>
          <a:off x="0" y="5676900"/>
          <a:ext cx="1276350" cy="712766"/>
        </a:xfrm>
        <a:prstGeom prst="rect">
          <a:avLst/>
        </a:prstGeom>
      </xdr:spPr>
    </xdr:pic>
    <xdr:clientData/>
  </xdr:twoCellAnchor>
  <xdr:twoCellAnchor editAs="oneCell">
    <xdr:from>
      <xdr:col>1</xdr:col>
      <xdr:colOff>85725</xdr:colOff>
      <xdr:row>27</xdr:row>
      <xdr:rowOff>114300</xdr:rowOff>
    </xdr:from>
    <xdr:to>
      <xdr:col>1</xdr:col>
      <xdr:colOff>664552</xdr:colOff>
      <xdr:row>30</xdr:row>
      <xdr:rowOff>19050</xdr:rowOff>
    </xdr:to>
    <xdr:pic>
      <xdr:nvPicPr>
        <xdr:cNvPr id="8" name="Picture 7">
          <a:extLst>
            <a:ext uri="{FF2B5EF4-FFF2-40B4-BE49-F238E27FC236}">
              <a16:creationId xmlns:a16="http://schemas.microsoft.com/office/drawing/2014/main" id="{E8F3ECA8-7766-455E-8CB8-EE68F6A9EE58}"/>
            </a:ext>
          </a:extLst>
        </xdr:cNvPr>
        <xdr:cNvPicPr>
          <a:picLocks noChangeAspect="1"/>
        </xdr:cNvPicPr>
      </xdr:nvPicPr>
      <xdr:blipFill>
        <a:blip xmlns:r="http://schemas.openxmlformats.org/officeDocument/2006/relationships" r:embed="rId3"/>
        <a:stretch>
          <a:fillRect/>
        </a:stretch>
      </xdr:blipFill>
      <xdr:spPr>
        <a:xfrm>
          <a:off x="695325" y="6362700"/>
          <a:ext cx="578827" cy="476250"/>
        </a:xfrm>
        <a:prstGeom prst="rect">
          <a:avLst/>
        </a:prstGeom>
      </xdr:spPr>
    </xdr:pic>
    <xdr:clientData/>
  </xdr:twoCellAnchor>
  <xdr:twoCellAnchor editAs="oneCell">
    <xdr:from>
      <xdr:col>0</xdr:col>
      <xdr:colOff>0</xdr:colOff>
      <xdr:row>33</xdr:row>
      <xdr:rowOff>0</xdr:rowOff>
    </xdr:from>
    <xdr:to>
      <xdr:col>4</xdr:col>
      <xdr:colOff>342523</xdr:colOff>
      <xdr:row>35</xdr:row>
      <xdr:rowOff>19000</xdr:rowOff>
    </xdr:to>
    <xdr:pic>
      <xdr:nvPicPr>
        <xdr:cNvPr id="9" name="Picture 8">
          <a:extLst>
            <a:ext uri="{FF2B5EF4-FFF2-40B4-BE49-F238E27FC236}">
              <a16:creationId xmlns:a16="http://schemas.microsoft.com/office/drawing/2014/main" id="{5EE03FA9-F3B4-6FFE-097A-2B89A2B72995}"/>
            </a:ext>
          </a:extLst>
        </xdr:cNvPr>
        <xdr:cNvPicPr>
          <a:picLocks noChangeAspect="1"/>
        </xdr:cNvPicPr>
      </xdr:nvPicPr>
      <xdr:blipFill>
        <a:blip xmlns:r="http://schemas.openxmlformats.org/officeDocument/2006/relationships" r:embed="rId5"/>
        <a:stretch>
          <a:fillRect/>
        </a:stretch>
      </xdr:blipFill>
      <xdr:spPr>
        <a:xfrm>
          <a:off x="0" y="7391400"/>
          <a:ext cx="3019048" cy="400000"/>
        </a:xfrm>
        <a:prstGeom prst="rect">
          <a:avLst/>
        </a:prstGeom>
      </xdr:spPr>
    </xdr:pic>
    <xdr:clientData/>
  </xdr:twoCellAnchor>
  <xdr:twoCellAnchor editAs="oneCell">
    <xdr:from>
      <xdr:col>0</xdr:col>
      <xdr:colOff>304800</xdr:colOff>
      <xdr:row>35</xdr:row>
      <xdr:rowOff>142875</xdr:rowOff>
    </xdr:from>
    <xdr:to>
      <xdr:col>4</xdr:col>
      <xdr:colOff>504825</xdr:colOff>
      <xdr:row>39</xdr:row>
      <xdr:rowOff>186309</xdr:rowOff>
    </xdr:to>
    <xdr:pic>
      <xdr:nvPicPr>
        <xdr:cNvPr id="10" name="Picture 9">
          <a:extLst>
            <a:ext uri="{FF2B5EF4-FFF2-40B4-BE49-F238E27FC236}">
              <a16:creationId xmlns:a16="http://schemas.microsoft.com/office/drawing/2014/main" id="{DAFD4DB4-A5C6-4279-A278-B92479AAA3ED}"/>
            </a:ext>
          </a:extLst>
        </xdr:cNvPr>
        <xdr:cNvPicPr>
          <a:picLocks noChangeAspect="1"/>
        </xdr:cNvPicPr>
      </xdr:nvPicPr>
      <xdr:blipFill>
        <a:blip xmlns:r="http://schemas.openxmlformats.org/officeDocument/2006/relationships" r:embed="rId1"/>
        <a:stretch>
          <a:fillRect/>
        </a:stretch>
      </xdr:blipFill>
      <xdr:spPr>
        <a:xfrm>
          <a:off x="304800" y="7915275"/>
          <a:ext cx="2876550" cy="8054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23</xdr:row>
      <xdr:rowOff>85725</xdr:rowOff>
    </xdr:from>
    <xdr:to>
      <xdr:col>7</xdr:col>
      <xdr:colOff>1419048</xdr:colOff>
      <xdr:row>26</xdr:row>
      <xdr:rowOff>180892</xdr:rowOff>
    </xdr:to>
    <xdr:pic>
      <xdr:nvPicPr>
        <xdr:cNvPr id="2" name="Picture 1">
          <a:extLst>
            <a:ext uri="{FF2B5EF4-FFF2-40B4-BE49-F238E27FC236}">
              <a16:creationId xmlns:a16="http://schemas.microsoft.com/office/drawing/2014/main" id="{F9D76FFD-87C5-6BC4-AF8D-70CC7CFEB0E3}"/>
            </a:ext>
          </a:extLst>
        </xdr:cNvPr>
        <xdr:cNvPicPr>
          <a:picLocks noChangeAspect="1"/>
        </xdr:cNvPicPr>
      </xdr:nvPicPr>
      <xdr:blipFill>
        <a:blip xmlns:r="http://schemas.openxmlformats.org/officeDocument/2006/relationships" r:embed="rId1"/>
        <a:stretch>
          <a:fillRect/>
        </a:stretch>
      </xdr:blipFill>
      <xdr:spPr>
        <a:xfrm>
          <a:off x="6343650" y="4572000"/>
          <a:ext cx="1419048" cy="666667"/>
        </a:xfrm>
        <a:prstGeom prst="rect">
          <a:avLst/>
        </a:prstGeom>
      </xdr:spPr>
    </xdr:pic>
    <xdr:clientData/>
  </xdr:twoCellAnchor>
  <xdr:twoCellAnchor editAs="oneCell">
    <xdr:from>
      <xdr:col>8</xdr:col>
      <xdr:colOff>85725</xdr:colOff>
      <xdr:row>31</xdr:row>
      <xdr:rowOff>95250</xdr:rowOff>
    </xdr:from>
    <xdr:to>
      <xdr:col>9</xdr:col>
      <xdr:colOff>485775</xdr:colOff>
      <xdr:row>34</xdr:row>
      <xdr:rowOff>164491</xdr:rowOff>
    </xdr:to>
    <xdr:pic>
      <xdr:nvPicPr>
        <xdr:cNvPr id="3" name="Picture 2">
          <a:extLst>
            <a:ext uri="{FF2B5EF4-FFF2-40B4-BE49-F238E27FC236}">
              <a16:creationId xmlns:a16="http://schemas.microsoft.com/office/drawing/2014/main" id="{B0D1926A-FC78-F6E4-275B-D07B34DB1669}"/>
            </a:ext>
          </a:extLst>
        </xdr:cNvPr>
        <xdr:cNvPicPr>
          <a:picLocks noChangeAspect="1"/>
        </xdr:cNvPicPr>
      </xdr:nvPicPr>
      <xdr:blipFill>
        <a:blip xmlns:r="http://schemas.openxmlformats.org/officeDocument/2006/relationships" r:embed="rId2"/>
        <a:stretch>
          <a:fillRect/>
        </a:stretch>
      </xdr:blipFill>
      <xdr:spPr>
        <a:xfrm>
          <a:off x="8362950" y="6105525"/>
          <a:ext cx="1304925" cy="6407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15</xdr:row>
      <xdr:rowOff>66675</xdr:rowOff>
    </xdr:from>
    <xdr:to>
      <xdr:col>5</xdr:col>
      <xdr:colOff>313987</xdr:colOff>
      <xdr:row>19</xdr:row>
      <xdr:rowOff>47532</xdr:rowOff>
    </xdr:to>
    <xdr:pic>
      <xdr:nvPicPr>
        <xdr:cNvPr id="2" name="Picture 1">
          <a:extLst>
            <a:ext uri="{FF2B5EF4-FFF2-40B4-BE49-F238E27FC236}">
              <a16:creationId xmlns:a16="http://schemas.microsoft.com/office/drawing/2014/main" id="{1A6673D8-1E0D-BA8A-A20D-61C80EB6F681}"/>
            </a:ext>
          </a:extLst>
        </xdr:cNvPr>
        <xdr:cNvPicPr>
          <a:picLocks noChangeAspect="1"/>
        </xdr:cNvPicPr>
      </xdr:nvPicPr>
      <xdr:blipFill>
        <a:blip xmlns:r="http://schemas.openxmlformats.org/officeDocument/2006/relationships" r:embed="rId1"/>
        <a:stretch>
          <a:fillRect/>
        </a:stretch>
      </xdr:blipFill>
      <xdr:spPr>
        <a:xfrm>
          <a:off x="657225" y="2924175"/>
          <a:ext cx="2704762" cy="742857"/>
        </a:xfrm>
        <a:prstGeom prst="rect">
          <a:avLst/>
        </a:prstGeom>
      </xdr:spPr>
    </xdr:pic>
    <xdr:clientData/>
  </xdr:twoCellAnchor>
  <xdr:twoCellAnchor editAs="oneCell">
    <xdr:from>
      <xdr:col>14</xdr:col>
      <xdr:colOff>514350</xdr:colOff>
      <xdr:row>3</xdr:row>
      <xdr:rowOff>76200</xdr:rowOff>
    </xdr:from>
    <xdr:to>
      <xdr:col>19</xdr:col>
      <xdr:colOff>599683</xdr:colOff>
      <xdr:row>6</xdr:row>
      <xdr:rowOff>9457</xdr:rowOff>
    </xdr:to>
    <xdr:pic>
      <xdr:nvPicPr>
        <xdr:cNvPr id="3" name="Picture 2">
          <a:extLst>
            <a:ext uri="{FF2B5EF4-FFF2-40B4-BE49-F238E27FC236}">
              <a16:creationId xmlns:a16="http://schemas.microsoft.com/office/drawing/2014/main" id="{FB2D5492-4127-1648-F53A-047E2D645DE9}"/>
            </a:ext>
          </a:extLst>
        </xdr:cNvPr>
        <xdr:cNvPicPr>
          <a:picLocks noChangeAspect="1"/>
        </xdr:cNvPicPr>
      </xdr:nvPicPr>
      <xdr:blipFill>
        <a:blip xmlns:r="http://schemas.openxmlformats.org/officeDocument/2006/relationships" r:embed="rId2"/>
        <a:stretch>
          <a:fillRect/>
        </a:stretch>
      </xdr:blipFill>
      <xdr:spPr>
        <a:xfrm>
          <a:off x="9401175" y="647700"/>
          <a:ext cx="3133333" cy="54285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9C09-67B1-43E1-B6E1-4A28ED8C468E}">
  <dimension ref="A1:AD41"/>
  <sheetViews>
    <sheetView workbookViewId="0">
      <selection activeCell="AB17" sqref="AB17"/>
    </sheetView>
  </sheetViews>
  <sheetFormatPr defaultColWidth="8.85546875" defaultRowHeight="15" x14ac:dyDescent="0.25"/>
  <cols>
    <col min="2" max="2" width="8.7109375" customWidth="1"/>
    <col min="3" max="10" width="6.7109375" customWidth="1"/>
    <col min="11" max="11" width="14.7109375" customWidth="1"/>
  </cols>
  <sheetData>
    <row r="1" spans="1:24" ht="18.75" x14ac:dyDescent="0.3">
      <c r="A1" s="28" t="s">
        <v>32</v>
      </c>
    </row>
    <row r="2" spans="1:24" ht="15.75" thickBot="1" x14ac:dyDescent="0.3">
      <c r="A2" t="s">
        <v>33</v>
      </c>
    </row>
    <row r="3" spans="1:24" x14ac:dyDescent="0.25">
      <c r="A3" t="s">
        <v>35</v>
      </c>
      <c r="J3" s="66" t="s">
        <v>23</v>
      </c>
      <c r="K3" s="67"/>
      <c r="L3" s="68"/>
      <c r="V3" s="63" t="s">
        <v>11</v>
      </c>
      <c r="W3" s="64"/>
      <c r="X3" s="65"/>
    </row>
    <row r="4" spans="1:24" x14ac:dyDescent="0.25">
      <c r="A4" t="s">
        <v>34</v>
      </c>
      <c r="J4" s="22" t="s">
        <v>37</v>
      </c>
      <c r="K4" s="2">
        <v>0</v>
      </c>
      <c r="L4" s="23">
        <v>0</v>
      </c>
      <c r="V4" s="17" t="s">
        <v>22</v>
      </c>
      <c r="W4">
        <v>0</v>
      </c>
      <c r="X4" s="18">
        <v>0</v>
      </c>
    </row>
    <row r="5" spans="1:24" x14ac:dyDescent="0.25">
      <c r="J5" s="22" t="s">
        <v>36</v>
      </c>
      <c r="K5" s="2">
        <v>50</v>
      </c>
      <c r="L5" s="23">
        <v>100</v>
      </c>
      <c r="V5" s="17" t="s">
        <v>22</v>
      </c>
      <c r="W5">
        <v>50</v>
      </c>
      <c r="X5" s="18">
        <v>100</v>
      </c>
    </row>
    <row r="6" spans="1:24" ht="15.75" thickBot="1" x14ac:dyDescent="0.3">
      <c r="J6" s="24" t="s">
        <v>38</v>
      </c>
      <c r="K6" s="25">
        <v>100</v>
      </c>
      <c r="L6" s="26">
        <v>0</v>
      </c>
      <c r="V6" s="17" t="s">
        <v>22</v>
      </c>
      <c r="W6">
        <v>100</v>
      </c>
      <c r="X6" s="18">
        <v>0</v>
      </c>
    </row>
    <row r="7" spans="1:24" x14ac:dyDescent="0.25">
      <c r="V7" s="17" t="s">
        <v>22</v>
      </c>
      <c r="W7">
        <v>0</v>
      </c>
      <c r="X7" s="18">
        <v>0</v>
      </c>
    </row>
    <row r="8" spans="1:24" x14ac:dyDescent="0.25">
      <c r="V8" s="19">
        <v>1</v>
      </c>
      <c r="W8">
        <v>20</v>
      </c>
      <c r="X8" s="18">
        <v>0</v>
      </c>
    </row>
    <row r="9" spans="1:24" x14ac:dyDescent="0.25">
      <c r="F9" s="62" t="s">
        <v>19</v>
      </c>
      <c r="G9" s="62"/>
      <c r="H9" s="62"/>
      <c r="I9" s="62"/>
      <c r="J9" s="62"/>
      <c r="K9" s="62"/>
      <c r="L9" s="62"/>
      <c r="V9" s="19">
        <v>1</v>
      </c>
      <c r="W9">
        <v>60</v>
      </c>
      <c r="X9" s="18">
        <v>80</v>
      </c>
    </row>
    <row r="10" spans="1:24" x14ac:dyDescent="0.25">
      <c r="A10" s="59" t="s">
        <v>20</v>
      </c>
      <c r="B10" s="60"/>
      <c r="C10" s="60"/>
      <c r="D10" s="60"/>
      <c r="E10" s="61"/>
      <c r="G10" s="72" t="s">
        <v>0</v>
      </c>
      <c r="H10" s="73"/>
      <c r="I10" s="73"/>
      <c r="J10" s="74"/>
      <c r="K10" s="14" t="s">
        <v>1</v>
      </c>
      <c r="L10" s="15"/>
      <c r="V10" s="19">
        <v>2</v>
      </c>
      <c r="W10">
        <v>40</v>
      </c>
      <c r="X10" s="18">
        <v>0</v>
      </c>
    </row>
    <row r="11" spans="1:24" x14ac:dyDescent="0.25">
      <c r="A11" s="57" t="s">
        <v>26</v>
      </c>
      <c r="B11" s="57" t="s">
        <v>21</v>
      </c>
      <c r="C11" s="69" t="s">
        <v>0</v>
      </c>
      <c r="D11" s="70"/>
      <c r="E11" s="71"/>
      <c r="F11" s="7"/>
      <c r="G11" s="75" t="s">
        <v>2</v>
      </c>
      <c r="H11" s="76"/>
      <c r="I11" s="76"/>
      <c r="J11" s="77"/>
      <c r="K11" s="8" t="s">
        <v>3</v>
      </c>
      <c r="L11" s="6" t="s">
        <v>4</v>
      </c>
      <c r="V11" s="19">
        <v>2</v>
      </c>
      <c r="W11">
        <v>70</v>
      </c>
      <c r="X11" s="18">
        <v>60</v>
      </c>
    </row>
    <row r="12" spans="1:24" x14ac:dyDescent="0.25">
      <c r="A12" s="58"/>
      <c r="B12" s="58"/>
      <c r="C12" s="9" t="s">
        <v>12</v>
      </c>
      <c r="D12" s="9" t="s">
        <v>13</v>
      </c>
      <c r="E12" s="9" t="s">
        <v>14</v>
      </c>
      <c r="F12" s="29" t="s">
        <v>5</v>
      </c>
      <c r="G12" s="11" t="s">
        <v>6</v>
      </c>
      <c r="H12" s="11" t="s">
        <v>7</v>
      </c>
      <c r="I12" s="11" t="s">
        <v>8</v>
      </c>
      <c r="J12" s="11" t="s">
        <v>5</v>
      </c>
      <c r="K12" s="5" t="s">
        <v>9</v>
      </c>
      <c r="L12" s="5" t="s">
        <v>10</v>
      </c>
      <c r="V12" s="19">
        <v>3</v>
      </c>
      <c r="W12">
        <v>60</v>
      </c>
      <c r="X12" s="18">
        <v>0</v>
      </c>
    </row>
    <row r="13" spans="1:24" x14ac:dyDescent="0.25">
      <c r="A13" s="16" t="s">
        <v>27</v>
      </c>
      <c r="B13" s="16" t="s">
        <v>15</v>
      </c>
      <c r="C13" s="10"/>
      <c r="D13" s="10"/>
      <c r="E13" s="10"/>
      <c r="F13" s="30">
        <f>SUM(C13:E13)</f>
        <v>0</v>
      </c>
      <c r="G13" s="12" t="e">
        <f>C13/(F13/100)</f>
        <v>#DIV/0!</v>
      </c>
      <c r="H13" s="12" t="e">
        <f>D13/(F13/100)</f>
        <v>#DIV/0!</v>
      </c>
      <c r="I13" s="12" t="e">
        <f>E13/(F13/100)</f>
        <v>#DIV/0!</v>
      </c>
      <c r="J13" s="13" t="e">
        <f>SUM(G13:I13)</f>
        <v>#DIV/0!</v>
      </c>
      <c r="K13" s="3" t="e">
        <f t="shared" ref="K13" si="0">I13+(G13/2)</f>
        <v>#DIV/0!</v>
      </c>
      <c r="L13" s="3" t="e">
        <f t="shared" ref="L13" si="1">G13</f>
        <v>#DIV/0!</v>
      </c>
      <c r="V13" s="19">
        <v>3</v>
      </c>
      <c r="W13">
        <v>80</v>
      </c>
      <c r="X13" s="18">
        <v>40</v>
      </c>
    </row>
    <row r="14" spans="1:24" x14ac:dyDescent="0.25">
      <c r="A14" s="16" t="s">
        <v>27</v>
      </c>
      <c r="B14" s="16" t="s">
        <v>16</v>
      </c>
      <c r="C14" s="10"/>
      <c r="D14" s="10"/>
      <c r="E14" s="10"/>
      <c r="F14" s="30">
        <f>SUM(C14:E14)</f>
        <v>0</v>
      </c>
      <c r="G14" s="12" t="e">
        <f>C14/(F14/100)</f>
        <v>#DIV/0!</v>
      </c>
      <c r="H14" s="12" t="e">
        <f>D14/(F14/100)</f>
        <v>#DIV/0!</v>
      </c>
      <c r="I14" s="12" t="e">
        <f>E14/(F14/100)</f>
        <v>#DIV/0!</v>
      </c>
      <c r="J14" s="13" t="e">
        <f>SUM(G14:I14)</f>
        <v>#DIV/0!</v>
      </c>
      <c r="K14" s="3" t="e">
        <f>I14+(G14/2)</f>
        <v>#DIV/0!</v>
      </c>
      <c r="L14" s="3" t="e">
        <f>G14</f>
        <v>#DIV/0!</v>
      </c>
      <c r="V14" s="19">
        <v>4</v>
      </c>
      <c r="W14">
        <v>80</v>
      </c>
      <c r="X14" s="18">
        <v>0</v>
      </c>
    </row>
    <row r="15" spans="1:24" ht="15.75" thickBot="1" x14ac:dyDescent="0.3">
      <c r="A15" s="16" t="s">
        <v>27</v>
      </c>
      <c r="B15" s="16" t="s">
        <v>17</v>
      </c>
      <c r="C15" s="10"/>
      <c r="D15" s="10"/>
      <c r="E15" s="10"/>
      <c r="F15" s="30">
        <f>SUM(C15:E15)</f>
        <v>0</v>
      </c>
      <c r="G15" s="12" t="e">
        <f>C15/(F15/100)</f>
        <v>#DIV/0!</v>
      </c>
      <c r="H15" s="12" t="e">
        <f>D15/(F15/100)</f>
        <v>#DIV/0!</v>
      </c>
      <c r="I15" s="12" t="e">
        <f>E15/(F15/100)</f>
        <v>#DIV/0!</v>
      </c>
      <c r="J15" s="13" t="e">
        <f>SUM(G15:I15)</f>
        <v>#DIV/0!</v>
      </c>
      <c r="K15" s="3" t="e">
        <f>I15+(G15/2)</f>
        <v>#DIV/0!</v>
      </c>
      <c r="L15" s="3" t="e">
        <f>G15</f>
        <v>#DIV/0!</v>
      </c>
      <c r="V15" s="20">
        <v>4</v>
      </c>
      <c r="W15" s="4">
        <v>90</v>
      </c>
      <c r="X15" s="21">
        <v>20</v>
      </c>
    </row>
    <row r="16" spans="1:24" x14ac:dyDescent="0.25">
      <c r="A16" s="16" t="s">
        <v>27</v>
      </c>
      <c r="B16" s="16" t="s">
        <v>18</v>
      </c>
      <c r="C16" s="10"/>
      <c r="D16" s="10"/>
      <c r="E16" s="10"/>
      <c r="F16" s="30">
        <f>SUM(C16:E16)</f>
        <v>0</v>
      </c>
      <c r="G16" s="12" t="e">
        <f>C16/(F16/100)</f>
        <v>#DIV/0!</v>
      </c>
      <c r="H16" s="12" t="e">
        <f>D16/(F16/100)</f>
        <v>#DIV/0!</v>
      </c>
      <c r="I16" s="12" t="e">
        <f>E16/(F16/100)</f>
        <v>#DIV/0!</v>
      </c>
      <c r="J16" s="13" t="e">
        <f>SUM(G16:I16)</f>
        <v>#DIV/0!</v>
      </c>
      <c r="K16" s="3" t="e">
        <f>I16+(G16/2)</f>
        <v>#DIV/0!</v>
      </c>
      <c r="L16" s="3" t="e">
        <f>G16</f>
        <v>#DIV/0!</v>
      </c>
      <c r="V16" s="19">
        <v>5</v>
      </c>
      <c r="W16">
        <v>20</v>
      </c>
      <c r="X16" s="18">
        <v>0</v>
      </c>
    </row>
    <row r="17" spans="1:30" x14ac:dyDescent="0.25">
      <c r="A17" s="16" t="s">
        <v>28</v>
      </c>
      <c r="B17" s="16" t="s">
        <v>29</v>
      </c>
      <c r="C17" s="10"/>
      <c r="D17" s="10"/>
      <c r="E17" s="10"/>
      <c r="F17" s="30">
        <f t="shared" ref="F17:F20" si="2">SUM(C17:E17)</f>
        <v>0</v>
      </c>
      <c r="G17" s="12" t="e">
        <f t="shared" ref="G17:G20" si="3">C17/(F17/100)</f>
        <v>#DIV/0!</v>
      </c>
      <c r="H17" s="12" t="e">
        <f t="shared" ref="H17:H20" si="4">D17/(F17/100)</f>
        <v>#DIV/0!</v>
      </c>
      <c r="I17" s="12" t="e">
        <f t="shared" ref="I17:I20" si="5">E17/(F17/100)</f>
        <v>#DIV/0!</v>
      </c>
      <c r="J17" s="13" t="e">
        <f t="shared" ref="J17:J20" si="6">SUM(G17:I17)</f>
        <v>#DIV/0!</v>
      </c>
      <c r="K17" s="3" t="e">
        <f t="shared" ref="K17:K20" si="7">I17+(G17/2)</f>
        <v>#DIV/0!</v>
      </c>
      <c r="L17" s="3" t="e">
        <f t="shared" ref="L17:L20" si="8">G17</f>
        <v>#DIV/0!</v>
      </c>
      <c r="V17" s="19">
        <v>5</v>
      </c>
      <c r="W17">
        <v>10</v>
      </c>
      <c r="X17" s="18">
        <v>20</v>
      </c>
      <c r="AD17" t="s">
        <v>48</v>
      </c>
    </row>
    <row r="18" spans="1:30" x14ac:dyDescent="0.25">
      <c r="A18" s="16" t="s">
        <v>28</v>
      </c>
      <c r="B18" s="16" t="s">
        <v>25</v>
      </c>
      <c r="C18" s="10"/>
      <c r="D18" s="10"/>
      <c r="E18" s="10"/>
      <c r="F18" s="30">
        <f t="shared" si="2"/>
        <v>0</v>
      </c>
      <c r="G18" s="12" t="e">
        <f t="shared" si="3"/>
        <v>#DIV/0!</v>
      </c>
      <c r="H18" s="12" t="e">
        <f t="shared" si="4"/>
        <v>#DIV/0!</v>
      </c>
      <c r="I18" s="12" t="e">
        <f t="shared" si="5"/>
        <v>#DIV/0!</v>
      </c>
      <c r="J18" s="13" t="e">
        <f t="shared" si="6"/>
        <v>#DIV/0!</v>
      </c>
      <c r="K18" s="3" t="e">
        <f t="shared" si="7"/>
        <v>#DIV/0!</v>
      </c>
      <c r="L18" s="3" t="e">
        <f t="shared" si="8"/>
        <v>#DIV/0!</v>
      </c>
      <c r="V18" s="19">
        <v>6</v>
      </c>
      <c r="W18">
        <v>40</v>
      </c>
      <c r="X18" s="18">
        <v>0</v>
      </c>
    </row>
    <row r="19" spans="1:30" x14ac:dyDescent="0.25">
      <c r="A19" s="16" t="s">
        <v>28</v>
      </c>
      <c r="B19" s="16" t="s">
        <v>30</v>
      </c>
      <c r="C19" s="10"/>
      <c r="D19" s="10"/>
      <c r="E19" s="10"/>
      <c r="F19" s="30">
        <f t="shared" si="2"/>
        <v>0</v>
      </c>
      <c r="G19" s="12" t="e">
        <f t="shared" si="3"/>
        <v>#DIV/0!</v>
      </c>
      <c r="H19" s="12" t="e">
        <f t="shared" si="4"/>
        <v>#DIV/0!</v>
      </c>
      <c r="I19" s="12" t="e">
        <f t="shared" si="5"/>
        <v>#DIV/0!</v>
      </c>
      <c r="J19" s="13" t="e">
        <f t="shared" si="6"/>
        <v>#DIV/0!</v>
      </c>
      <c r="K19" s="3" t="e">
        <f t="shared" si="7"/>
        <v>#DIV/0!</v>
      </c>
      <c r="L19" s="3" t="e">
        <f t="shared" si="8"/>
        <v>#DIV/0!</v>
      </c>
      <c r="V19" s="19">
        <v>6</v>
      </c>
      <c r="W19">
        <v>20</v>
      </c>
      <c r="X19" s="18">
        <v>40</v>
      </c>
    </row>
    <row r="20" spans="1:30" x14ac:dyDescent="0.25">
      <c r="A20" s="16" t="s">
        <v>28</v>
      </c>
      <c r="B20" s="16" t="s">
        <v>31</v>
      </c>
      <c r="C20" s="10"/>
      <c r="D20" s="10"/>
      <c r="E20" s="10"/>
      <c r="F20" s="30">
        <f t="shared" si="2"/>
        <v>0</v>
      </c>
      <c r="G20" s="12" t="e">
        <f t="shared" si="3"/>
        <v>#DIV/0!</v>
      </c>
      <c r="H20" s="12" t="e">
        <f t="shared" si="4"/>
        <v>#DIV/0!</v>
      </c>
      <c r="I20" s="12" t="e">
        <f t="shared" si="5"/>
        <v>#DIV/0!</v>
      </c>
      <c r="J20" s="13" t="e">
        <f t="shared" si="6"/>
        <v>#DIV/0!</v>
      </c>
      <c r="K20" s="3" t="e">
        <f t="shared" si="7"/>
        <v>#DIV/0!</v>
      </c>
      <c r="L20" s="3" t="e">
        <f t="shared" si="8"/>
        <v>#DIV/0!</v>
      </c>
      <c r="N20" s="27" t="s">
        <v>24</v>
      </c>
      <c r="V20" s="19">
        <v>7</v>
      </c>
      <c r="W20">
        <v>60</v>
      </c>
      <c r="X20" s="18">
        <v>0</v>
      </c>
    </row>
    <row r="21" spans="1:30" x14ac:dyDescent="0.25">
      <c r="F21" s="1"/>
      <c r="V21" s="19">
        <v>7</v>
      </c>
      <c r="W21">
        <v>30</v>
      </c>
      <c r="X21" s="18">
        <v>60</v>
      </c>
    </row>
    <row r="22" spans="1:30" x14ac:dyDescent="0.25">
      <c r="F22" s="1"/>
      <c r="Q22" s="16" t="s">
        <v>41</v>
      </c>
      <c r="R22" s="16">
        <v>75</v>
      </c>
      <c r="V22" s="19">
        <v>8</v>
      </c>
      <c r="W22">
        <v>80</v>
      </c>
      <c r="X22" s="18">
        <v>0</v>
      </c>
    </row>
    <row r="23" spans="1:30" ht="15.75" thickBot="1" x14ac:dyDescent="0.3">
      <c r="F23" s="1"/>
      <c r="Q23" s="16" t="s">
        <v>45</v>
      </c>
      <c r="R23" s="16">
        <v>3</v>
      </c>
      <c r="V23" s="20">
        <v>8</v>
      </c>
      <c r="W23" s="4">
        <v>40</v>
      </c>
      <c r="X23" s="21">
        <v>80</v>
      </c>
    </row>
    <row r="24" spans="1:30" x14ac:dyDescent="0.25">
      <c r="F24" s="1"/>
      <c r="Q24" s="16" t="s">
        <v>46</v>
      </c>
      <c r="R24" s="16">
        <v>80</v>
      </c>
      <c r="V24" s="19">
        <v>9</v>
      </c>
      <c r="W24">
        <v>10</v>
      </c>
      <c r="X24" s="18">
        <v>20</v>
      </c>
    </row>
    <row r="25" spans="1:30" x14ac:dyDescent="0.25">
      <c r="F25" s="1"/>
      <c r="Q25" s="2" t="s">
        <v>47</v>
      </c>
      <c r="R25" s="2">
        <f>(R22/(100-R22))*X34</f>
        <v>8.1000000000000014</v>
      </c>
      <c r="V25" s="19">
        <v>9</v>
      </c>
      <c r="W25">
        <v>90</v>
      </c>
      <c r="X25" s="18">
        <v>20</v>
      </c>
    </row>
    <row r="26" spans="1:30" x14ac:dyDescent="0.25">
      <c r="F26" s="1"/>
      <c r="V26" s="19">
        <v>10</v>
      </c>
      <c r="W26">
        <v>20</v>
      </c>
      <c r="X26" s="18">
        <v>40</v>
      </c>
    </row>
    <row r="27" spans="1:30" x14ac:dyDescent="0.25">
      <c r="F27" s="1"/>
      <c r="V27" s="19">
        <v>10</v>
      </c>
      <c r="W27">
        <v>80</v>
      </c>
      <c r="X27" s="18">
        <v>40</v>
      </c>
    </row>
    <row r="28" spans="1:30" x14ac:dyDescent="0.25">
      <c r="F28" s="1"/>
      <c r="V28" s="19">
        <v>11</v>
      </c>
      <c r="W28">
        <v>30</v>
      </c>
      <c r="X28" s="18">
        <v>60</v>
      </c>
    </row>
    <row r="29" spans="1:30" x14ac:dyDescent="0.25">
      <c r="F29" s="1"/>
      <c r="V29" s="19">
        <v>11</v>
      </c>
      <c r="W29">
        <v>70</v>
      </c>
      <c r="X29" s="18">
        <v>60</v>
      </c>
    </row>
    <row r="30" spans="1:30" x14ac:dyDescent="0.25">
      <c r="F30" s="1"/>
      <c r="V30" s="19">
        <v>12</v>
      </c>
      <c r="W30">
        <v>40</v>
      </c>
      <c r="X30" s="18">
        <v>80</v>
      </c>
    </row>
    <row r="31" spans="1:30" x14ac:dyDescent="0.25">
      <c r="F31" s="1"/>
      <c r="V31" s="19">
        <v>12</v>
      </c>
      <c r="W31">
        <v>60</v>
      </c>
      <c r="X31" s="18">
        <v>80</v>
      </c>
    </row>
    <row r="32" spans="1:30" x14ac:dyDescent="0.25">
      <c r="F32" s="1"/>
      <c r="V32" s="2" t="s">
        <v>39</v>
      </c>
      <c r="W32" s="2">
        <v>79</v>
      </c>
      <c r="X32" s="2">
        <v>0</v>
      </c>
    </row>
    <row r="33" spans="6:24" x14ac:dyDescent="0.25">
      <c r="F33" s="1"/>
      <c r="V33" s="2" t="s">
        <v>39</v>
      </c>
      <c r="W33" s="2">
        <v>50</v>
      </c>
      <c r="X33" s="2">
        <v>100</v>
      </c>
    </row>
    <row r="34" spans="6:24" x14ac:dyDescent="0.25">
      <c r="F34" s="1"/>
      <c r="V34" s="2" t="s">
        <v>43</v>
      </c>
      <c r="W34" s="2">
        <f>(X34-(7900/29))*(29/100)*(-1)</f>
        <v>78.216999999999999</v>
      </c>
      <c r="X34" s="16">
        <v>2.7</v>
      </c>
    </row>
    <row r="35" spans="6:24" x14ac:dyDescent="0.25">
      <c r="V35" s="2" t="s">
        <v>44</v>
      </c>
      <c r="W35" s="2">
        <f>(X35-(7900/29))*(29/100)*(-1)</f>
        <v>68.559999999999988</v>
      </c>
      <c r="X35" s="16">
        <v>36</v>
      </c>
    </row>
    <row r="36" spans="6:24" ht="18" x14ac:dyDescent="0.35">
      <c r="V36" s="2" t="s">
        <v>40</v>
      </c>
      <c r="W36" s="2">
        <f>(X36-50)/(-2)</f>
        <v>12.5</v>
      </c>
      <c r="X36" s="2">
        <f>100-R22</f>
        <v>25</v>
      </c>
    </row>
    <row r="37" spans="6:24" x14ac:dyDescent="0.25">
      <c r="V37" s="2" t="s">
        <v>42</v>
      </c>
      <c r="W37" s="2">
        <f>W36</f>
        <v>12.5</v>
      </c>
      <c r="X37" s="2">
        <f>X36</f>
        <v>25</v>
      </c>
    </row>
    <row r="38" spans="6:24" x14ac:dyDescent="0.25">
      <c r="V38" s="2" t="s">
        <v>42</v>
      </c>
      <c r="W38" s="2">
        <v>100</v>
      </c>
      <c r="X38" s="2">
        <v>0</v>
      </c>
    </row>
    <row r="39" spans="6:24" x14ac:dyDescent="0.25">
      <c r="V39" s="2" t="s">
        <v>45</v>
      </c>
      <c r="W39" s="2">
        <f>((X39-100)/2)+50</f>
        <v>1.5</v>
      </c>
      <c r="X39" s="2">
        <f>R23</f>
        <v>3</v>
      </c>
    </row>
    <row r="40" spans="6:24" x14ac:dyDescent="0.25">
      <c r="V40" s="2" t="s">
        <v>46</v>
      </c>
      <c r="W40" s="2">
        <f>((X40-100)/2)+50</f>
        <v>40</v>
      </c>
      <c r="X40" s="2">
        <f>+R24</f>
        <v>80</v>
      </c>
    </row>
    <row r="41" spans="6:24" x14ac:dyDescent="0.25">
      <c r="V41" s="2" t="s">
        <v>47</v>
      </c>
      <c r="W41" s="2">
        <f>((R25-100)/(-2))+50</f>
        <v>95.95</v>
      </c>
      <c r="X41" s="2">
        <f>((-25/(100-W36))*(W41-W36))+X36</f>
        <v>1.1571428571428584</v>
      </c>
    </row>
  </sheetData>
  <mergeCells count="9">
    <mergeCell ref="A11:A12"/>
    <mergeCell ref="A10:E10"/>
    <mergeCell ref="F9:L9"/>
    <mergeCell ref="V3:X3"/>
    <mergeCell ref="J3:L3"/>
    <mergeCell ref="C11:E11"/>
    <mergeCell ref="G10:J10"/>
    <mergeCell ref="G11:J11"/>
    <mergeCell ref="B11: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CAC6D-B342-4AD1-98BC-01EA97450756}">
  <dimension ref="A3:U44"/>
  <sheetViews>
    <sheetView workbookViewId="0">
      <selection activeCell="R4" sqref="R4"/>
    </sheetView>
  </sheetViews>
  <sheetFormatPr defaultRowHeight="15" x14ac:dyDescent="0.25"/>
  <cols>
    <col min="2" max="2" width="11.140625" customWidth="1"/>
    <col min="3" max="3" width="10.7109375" bestFit="1" customWidth="1"/>
    <col min="5" max="5" width="13.42578125" customWidth="1"/>
    <col min="6" max="6" width="21.140625" customWidth="1"/>
    <col min="7" max="7" width="15.7109375" customWidth="1"/>
    <col min="16" max="16" width="13.5703125" bestFit="1" customWidth="1"/>
    <col min="17" max="17" width="13.5703125" customWidth="1"/>
    <col min="18" max="18" width="17.7109375" bestFit="1" customWidth="1"/>
  </cols>
  <sheetData>
    <row r="3" spans="1:20" ht="46.5" customHeight="1" x14ac:dyDescent="0.25">
      <c r="B3" s="34" t="s">
        <v>49</v>
      </c>
      <c r="C3" s="34" t="s">
        <v>50</v>
      </c>
      <c r="D3" s="34" t="s">
        <v>64</v>
      </c>
      <c r="E3" s="35" t="s">
        <v>65</v>
      </c>
      <c r="F3" s="35" t="s">
        <v>66</v>
      </c>
      <c r="G3" s="34" t="s">
        <v>78</v>
      </c>
      <c r="N3" s="81" t="s">
        <v>84</v>
      </c>
      <c r="O3" s="81"/>
      <c r="P3" s="81"/>
      <c r="Q3" s="81"/>
      <c r="R3" s="81"/>
    </row>
    <row r="4" spans="1:20" ht="60" x14ac:dyDescent="0.25">
      <c r="B4" s="35">
        <v>7</v>
      </c>
      <c r="C4" s="35" t="s">
        <v>51</v>
      </c>
      <c r="D4" s="35">
        <v>1.5</v>
      </c>
      <c r="E4" s="35">
        <f>+D4*(100-B4)</f>
        <v>139.5</v>
      </c>
      <c r="F4" s="35">
        <f>B4/(E4+B4)*100</f>
        <v>4.7781569965870307</v>
      </c>
      <c r="G4" s="35" t="s">
        <v>79</v>
      </c>
      <c r="N4" s="34" t="s">
        <v>53</v>
      </c>
      <c r="O4" s="34" t="s">
        <v>81</v>
      </c>
      <c r="P4" s="34" t="s">
        <v>82</v>
      </c>
      <c r="Q4" s="34" t="s">
        <v>86</v>
      </c>
      <c r="R4" s="36" t="s">
        <v>85</v>
      </c>
      <c r="S4" s="36" t="s">
        <v>87</v>
      </c>
      <c r="T4" s="34"/>
    </row>
    <row r="5" spans="1:20" x14ac:dyDescent="0.25">
      <c r="N5" s="34" t="s">
        <v>80</v>
      </c>
      <c r="O5" s="34">
        <v>16.399999999999999</v>
      </c>
      <c r="P5" s="37" t="s">
        <v>83</v>
      </c>
      <c r="Q5" s="37">
        <f>+O5</f>
        <v>16.399999999999999</v>
      </c>
      <c r="R5" s="82">
        <f>(((100/D21)-1)/(1*Q6%+C18*Q7%))+1</f>
        <v>8.7735206470838669</v>
      </c>
      <c r="S5" s="82">
        <f>1/R5*100</f>
        <v>11.397932941918578</v>
      </c>
      <c r="T5" s="34"/>
    </row>
    <row r="6" spans="1:20" x14ac:dyDescent="0.25">
      <c r="N6" s="34" t="s">
        <v>38</v>
      </c>
      <c r="O6" s="34">
        <v>25.08</v>
      </c>
      <c r="P6" s="34">
        <f>+O6*1</f>
        <v>25.08</v>
      </c>
      <c r="Q6" s="34">
        <f>+O6/(O6+O7)*100</f>
        <v>30</v>
      </c>
      <c r="R6" s="82"/>
      <c r="S6" s="82"/>
      <c r="T6" s="34"/>
    </row>
    <row r="7" spans="1:20" x14ac:dyDescent="0.25">
      <c r="N7" s="34" t="s">
        <v>54</v>
      </c>
      <c r="O7" s="34">
        <v>58.52</v>
      </c>
      <c r="P7" s="34">
        <f>+O7*C18</f>
        <v>87.78</v>
      </c>
      <c r="Q7" s="34">
        <f>+O7/(O6+O7)*100</f>
        <v>70</v>
      </c>
      <c r="R7" s="82"/>
      <c r="S7" s="82"/>
      <c r="T7" s="34"/>
    </row>
    <row r="15" spans="1:20" x14ac:dyDescent="0.25">
      <c r="N15" s="79" t="s">
        <v>88</v>
      </c>
      <c r="O15" s="79"/>
      <c r="P15" s="79"/>
      <c r="Q15" s="79"/>
      <c r="R15" s="79"/>
      <c r="S15" s="79"/>
    </row>
    <row r="16" spans="1:20" ht="25.5" x14ac:dyDescent="0.25">
      <c r="A16" s="31" t="s">
        <v>64</v>
      </c>
      <c r="B16" s="32" t="s">
        <v>52</v>
      </c>
      <c r="N16" s="79"/>
      <c r="O16" s="79"/>
      <c r="P16" s="79"/>
      <c r="Q16" s="79"/>
      <c r="R16" s="79"/>
      <c r="S16" s="79"/>
    </row>
    <row r="17" spans="1:21" x14ac:dyDescent="0.25">
      <c r="A17" s="33" t="s">
        <v>53</v>
      </c>
      <c r="B17" s="33" t="s">
        <v>38</v>
      </c>
      <c r="C17" s="33" t="s">
        <v>54</v>
      </c>
      <c r="D17" s="33" t="s">
        <v>55</v>
      </c>
      <c r="E17" s="33" t="s">
        <v>56</v>
      </c>
      <c r="F17" s="33" t="s">
        <v>57</v>
      </c>
      <c r="G17" s="33" t="s">
        <v>58</v>
      </c>
      <c r="H17" s="33" t="s">
        <v>59</v>
      </c>
      <c r="I17" s="33" t="s">
        <v>60</v>
      </c>
      <c r="J17" s="33" t="s">
        <v>61</v>
      </c>
      <c r="K17" s="33" t="s">
        <v>62</v>
      </c>
    </row>
    <row r="18" spans="1:21" x14ac:dyDescent="0.25">
      <c r="A18" s="34" t="s">
        <v>63</v>
      </c>
      <c r="B18" s="34">
        <v>1</v>
      </c>
      <c r="C18" s="34">
        <v>1.5</v>
      </c>
      <c r="D18" s="34">
        <v>0.5</v>
      </c>
      <c r="E18" s="34">
        <v>0.5</v>
      </c>
      <c r="F18" s="34">
        <v>0.5</v>
      </c>
      <c r="G18" s="34">
        <v>0.5</v>
      </c>
      <c r="H18" s="34">
        <v>0.5</v>
      </c>
      <c r="I18" s="34">
        <v>1.5</v>
      </c>
      <c r="J18" s="34">
        <v>1.5</v>
      </c>
      <c r="K18" s="34">
        <v>1.5</v>
      </c>
      <c r="N18" s="80" t="s">
        <v>89</v>
      </c>
      <c r="O18" s="80"/>
      <c r="P18" s="80"/>
      <c r="Q18" s="80"/>
      <c r="R18" s="80"/>
    </row>
    <row r="19" spans="1:21" x14ac:dyDescent="0.25">
      <c r="O19" s="81"/>
      <c r="P19" s="81"/>
      <c r="Q19" s="81"/>
      <c r="R19" s="81"/>
      <c r="S19" s="81"/>
    </row>
    <row r="20" spans="1:21" x14ac:dyDescent="0.25">
      <c r="A20" s="33" t="s">
        <v>53</v>
      </c>
      <c r="B20" s="33" t="s">
        <v>67</v>
      </c>
      <c r="C20" s="33" t="s">
        <v>68</v>
      </c>
      <c r="D20" s="33" t="s">
        <v>69</v>
      </c>
      <c r="E20" s="33" t="s">
        <v>70</v>
      </c>
      <c r="F20" s="33" t="s">
        <v>71</v>
      </c>
      <c r="G20" s="33" t="s">
        <v>72</v>
      </c>
      <c r="H20" s="33" t="s">
        <v>73</v>
      </c>
      <c r="I20" s="33" t="s">
        <v>74</v>
      </c>
      <c r="J20" s="33" t="s">
        <v>75</v>
      </c>
      <c r="K20" s="33" t="s">
        <v>76</v>
      </c>
      <c r="N20" t="s">
        <v>53</v>
      </c>
      <c r="O20" t="s">
        <v>81</v>
      </c>
    </row>
    <row r="21" spans="1:21" x14ac:dyDescent="0.25">
      <c r="A21" s="34" t="s">
        <v>77</v>
      </c>
      <c r="B21" s="34">
        <v>5.7</v>
      </c>
      <c r="C21" s="34">
        <v>20</v>
      </c>
      <c r="D21" s="34">
        <v>8.6999999999999993</v>
      </c>
      <c r="E21" s="34">
        <v>7.6</v>
      </c>
      <c r="F21" s="34">
        <v>5.7</v>
      </c>
      <c r="G21" s="34">
        <v>6</v>
      </c>
      <c r="H21" s="34">
        <v>6</v>
      </c>
      <c r="I21" s="34">
        <v>6.5</v>
      </c>
      <c r="J21" s="34">
        <v>4</v>
      </c>
      <c r="K21" s="34">
        <v>3.5</v>
      </c>
      <c r="N21" t="s">
        <v>80</v>
      </c>
      <c r="O21">
        <v>1.1200000000000001</v>
      </c>
      <c r="P21" s="78">
        <f>((+O21*((100/D21)-1))+(O22*((100/H21)-1)))/100</f>
        <v>0.81940229885057492</v>
      </c>
      <c r="Q21" s="78">
        <f>+B18*O23%</f>
        <v>0.94400000000000006</v>
      </c>
      <c r="R21" s="79" t="s">
        <v>91</v>
      </c>
      <c r="S21" s="79"/>
      <c r="T21" s="79"/>
      <c r="U21" s="79"/>
    </row>
    <row r="22" spans="1:21" x14ac:dyDescent="0.25">
      <c r="N22" t="s">
        <v>90</v>
      </c>
      <c r="O22">
        <v>4.4800000000000004</v>
      </c>
      <c r="P22" s="78"/>
      <c r="Q22" s="78"/>
      <c r="R22" s="79"/>
      <c r="S22" s="79"/>
      <c r="T22" s="79"/>
      <c r="U22" s="79"/>
    </row>
    <row r="23" spans="1:21" x14ac:dyDescent="0.25">
      <c r="A23" s="80" t="s">
        <v>92</v>
      </c>
      <c r="B23" s="80"/>
      <c r="C23" s="80"/>
      <c r="D23" s="80"/>
      <c r="E23" s="80"/>
      <c r="F23" s="80"/>
      <c r="G23" s="80"/>
      <c r="H23" s="80"/>
      <c r="I23" s="80"/>
      <c r="J23" s="80"/>
      <c r="K23" s="80"/>
      <c r="N23" t="s">
        <v>38</v>
      </c>
      <c r="O23">
        <v>94.4</v>
      </c>
      <c r="P23" s="78"/>
      <c r="Q23" s="78"/>
    </row>
    <row r="26" spans="1:21" x14ac:dyDescent="0.25">
      <c r="C26" s="80" t="s">
        <v>93</v>
      </c>
      <c r="D26" s="80"/>
      <c r="E26" s="80"/>
      <c r="F26" s="80"/>
      <c r="G26" s="80"/>
    </row>
    <row r="29" spans="1:21" x14ac:dyDescent="0.25">
      <c r="C29" s="80" t="s">
        <v>94</v>
      </c>
      <c r="D29" s="80"/>
      <c r="E29" s="80"/>
      <c r="F29" s="80"/>
    </row>
    <row r="32" spans="1:21" x14ac:dyDescent="0.25">
      <c r="B32" t="s">
        <v>95</v>
      </c>
      <c r="C32" s="80" t="s">
        <v>96</v>
      </c>
      <c r="D32" s="80"/>
      <c r="E32" s="80"/>
    </row>
    <row r="37" spans="2:7" x14ac:dyDescent="0.25">
      <c r="F37" s="79" t="s">
        <v>97</v>
      </c>
      <c r="G37" s="79"/>
    </row>
    <row r="38" spans="2:7" x14ac:dyDescent="0.25">
      <c r="F38" s="79"/>
      <c r="G38" s="79"/>
    </row>
    <row r="39" spans="2:7" x14ac:dyDescent="0.25">
      <c r="F39" s="79"/>
      <c r="G39" s="79"/>
    </row>
    <row r="40" spans="2:7" x14ac:dyDescent="0.25">
      <c r="F40" s="79"/>
      <c r="G40" s="79"/>
    </row>
    <row r="41" spans="2:7" x14ac:dyDescent="0.25">
      <c r="B41" s="83" t="s">
        <v>98</v>
      </c>
      <c r="C41" s="80"/>
      <c r="D41" s="80"/>
      <c r="E41" s="80"/>
    </row>
    <row r="42" spans="2:7" x14ac:dyDescent="0.25">
      <c r="B42" s="80"/>
      <c r="C42" s="80"/>
      <c r="D42" s="80"/>
      <c r="E42" s="80"/>
    </row>
    <row r="43" spans="2:7" x14ac:dyDescent="0.25">
      <c r="B43" s="80"/>
      <c r="C43" s="80"/>
      <c r="D43" s="80"/>
      <c r="E43" s="80"/>
    </row>
    <row r="44" spans="2:7" x14ac:dyDescent="0.25">
      <c r="B44" s="80"/>
      <c r="C44" s="80"/>
      <c r="D44" s="80"/>
      <c r="E44" s="80"/>
    </row>
  </sheetData>
  <mergeCells count="15">
    <mergeCell ref="C29:F29"/>
    <mergeCell ref="C32:E32"/>
    <mergeCell ref="F37:G40"/>
    <mergeCell ref="B41:E44"/>
    <mergeCell ref="P21:P23"/>
    <mergeCell ref="Q21:Q23"/>
    <mergeCell ref="R21:U22"/>
    <mergeCell ref="A23:K23"/>
    <mergeCell ref="C26:G26"/>
    <mergeCell ref="N3:R3"/>
    <mergeCell ref="R5:R7"/>
    <mergeCell ref="S5:S7"/>
    <mergeCell ref="N15:S16"/>
    <mergeCell ref="O19:S19"/>
    <mergeCell ref="N18: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E3C7-BF79-4AB4-A57B-07A34F0190CE}">
  <dimension ref="B1:Q52"/>
  <sheetViews>
    <sheetView topLeftCell="A17" workbookViewId="0">
      <selection activeCell="M42" sqref="M42"/>
    </sheetView>
  </sheetViews>
  <sheetFormatPr defaultRowHeight="15" x14ac:dyDescent="0.25"/>
  <cols>
    <col min="2" max="2" width="19.85546875" bestFit="1" customWidth="1"/>
    <col min="4" max="4" width="16.42578125" bestFit="1" customWidth="1"/>
    <col min="5" max="5" width="12.5703125" bestFit="1" customWidth="1"/>
    <col min="6" max="6" width="19" bestFit="1" customWidth="1"/>
    <col min="7" max="7" width="14" bestFit="1" customWidth="1"/>
    <col min="8" max="8" width="24" bestFit="1" customWidth="1"/>
    <col min="9" max="9" width="13.5703125" bestFit="1" customWidth="1"/>
    <col min="12" max="12" width="15.85546875" bestFit="1" customWidth="1"/>
    <col min="13" max="13" width="36.5703125" bestFit="1" customWidth="1"/>
    <col min="14" max="14" width="40.28515625" bestFit="1" customWidth="1"/>
    <col min="15" max="15" width="28.42578125" bestFit="1" customWidth="1"/>
    <col min="16" max="17" width="12.7109375" bestFit="1" customWidth="1"/>
  </cols>
  <sheetData>
    <row r="1" spans="2:17" x14ac:dyDescent="0.25">
      <c r="J1" s="38"/>
    </row>
    <row r="2" spans="2:17" ht="20.25" customHeight="1" x14ac:dyDescent="0.25">
      <c r="B2" s="50" t="s">
        <v>99</v>
      </c>
      <c r="C2" s="50"/>
      <c r="D2" s="50"/>
      <c r="E2" s="50"/>
      <c r="F2" s="50"/>
      <c r="J2" s="38"/>
      <c r="L2" s="50" t="s">
        <v>116</v>
      </c>
      <c r="M2" s="50"/>
      <c r="N2" s="50"/>
      <c r="O2" s="50"/>
    </row>
    <row r="3" spans="2:17" x14ac:dyDescent="0.25">
      <c r="B3" s="34"/>
      <c r="C3" s="34"/>
      <c r="D3" s="34" t="s">
        <v>77</v>
      </c>
      <c r="E3" s="34" t="s">
        <v>100</v>
      </c>
      <c r="F3" s="34" t="s">
        <v>63</v>
      </c>
      <c r="G3" s="34" t="s">
        <v>101</v>
      </c>
      <c r="H3" s="34" t="s">
        <v>102</v>
      </c>
      <c r="I3" s="34" t="s">
        <v>103</v>
      </c>
      <c r="J3" s="38"/>
      <c r="L3" s="34" t="s">
        <v>102</v>
      </c>
      <c r="M3" s="34" t="s">
        <v>117</v>
      </c>
    </row>
    <row r="4" spans="2:17" x14ac:dyDescent="0.25">
      <c r="B4" s="34" t="s">
        <v>80</v>
      </c>
      <c r="C4" s="39">
        <v>0.9</v>
      </c>
      <c r="D4" s="34">
        <f>+'ISO10156 Method'!D21</f>
        <v>8.6999999999999993</v>
      </c>
      <c r="E4" s="34"/>
      <c r="F4" s="34"/>
      <c r="G4" s="54">
        <f>(((100/D4)-1)/(E5*F5))+1</f>
        <v>95.448275862068968</v>
      </c>
      <c r="H4" s="55">
        <f>1/G4</f>
        <v>1.0476878612716763E-2</v>
      </c>
      <c r="I4" s="56">
        <f>+H4*20%</f>
        <v>2.0953757225433529E-3</v>
      </c>
      <c r="J4" s="38"/>
      <c r="L4" s="45">
        <f>H4</f>
        <v>1.0476878612716763E-2</v>
      </c>
      <c r="M4" s="46">
        <v>0.25</v>
      </c>
    </row>
    <row r="5" spans="2:17" ht="15" customHeight="1" x14ac:dyDescent="0.25">
      <c r="B5" s="34" t="s">
        <v>38</v>
      </c>
      <c r="C5" s="39">
        <v>0.1</v>
      </c>
      <c r="D5" s="34"/>
      <c r="E5" s="34">
        <f>+C5/C4</f>
        <v>0.11111111111111112</v>
      </c>
      <c r="F5" s="34">
        <v>1</v>
      </c>
      <c r="G5" s="54"/>
      <c r="H5" s="55"/>
      <c r="I5" s="56"/>
      <c r="J5" s="38"/>
      <c r="L5" s="51" t="s">
        <v>118</v>
      </c>
      <c r="M5" s="51"/>
      <c r="N5" s="51"/>
      <c r="O5" s="51"/>
    </row>
    <row r="6" spans="2:17" x14ac:dyDescent="0.25">
      <c r="J6" s="38"/>
      <c r="L6" s="51"/>
      <c r="M6" s="51"/>
      <c r="N6" s="51"/>
      <c r="O6" s="51"/>
    </row>
    <row r="7" spans="2:17" x14ac:dyDescent="0.25">
      <c r="B7" s="51" t="s">
        <v>105</v>
      </c>
      <c r="C7" s="51"/>
      <c r="D7" s="51"/>
      <c r="E7" s="51"/>
      <c r="F7" s="51"/>
      <c r="J7" s="38"/>
      <c r="L7" s="43"/>
      <c r="M7" s="47">
        <f>+L4*M4</f>
        <v>2.6192196531791907E-3</v>
      </c>
      <c r="N7" s="43"/>
      <c r="O7" s="43"/>
    </row>
    <row r="8" spans="2:17" x14ac:dyDescent="0.25">
      <c r="B8" s="51"/>
      <c r="C8" s="51"/>
      <c r="D8" s="51"/>
      <c r="E8" s="51"/>
      <c r="F8" s="51"/>
      <c r="J8" s="38"/>
      <c r="L8" s="2" t="s">
        <v>119</v>
      </c>
      <c r="M8" s="2" t="s">
        <v>125</v>
      </c>
      <c r="N8" s="2" t="s">
        <v>121</v>
      </c>
      <c r="O8" s="2" t="s">
        <v>122</v>
      </c>
      <c r="P8" s="2"/>
      <c r="Q8" s="2"/>
    </row>
    <row r="9" spans="2:17" ht="18" x14ac:dyDescent="0.35">
      <c r="B9" s="51"/>
      <c r="C9" s="51"/>
      <c r="D9" s="51"/>
      <c r="E9" s="51"/>
      <c r="F9" s="51"/>
      <c r="J9" s="38"/>
      <c r="L9" s="2" t="s">
        <v>120</v>
      </c>
      <c r="M9" s="2" t="s">
        <v>126</v>
      </c>
      <c r="N9" s="2" t="s">
        <v>123</v>
      </c>
      <c r="O9" s="2" t="s">
        <v>124</v>
      </c>
      <c r="P9" s="2" t="s">
        <v>127</v>
      </c>
      <c r="Q9" s="2" t="s">
        <v>128</v>
      </c>
    </row>
    <row r="10" spans="2:17" x14ac:dyDescent="0.25">
      <c r="B10" s="51"/>
      <c r="C10" s="51"/>
      <c r="D10" s="51"/>
      <c r="E10" s="51"/>
      <c r="F10" s="51"/>
      <c r="J10" s="38"/>
      <c r="L10" s="2">
        <v>500</v>
      </c>
      <c r="M10" s="48">
        <f>4*0.2%</f>
        <v>8.0000000000000002E-3</v>
      </c>
      <c r="N10" s="2">
        <v>3</v>
      </c>
      <c r="O10" s="2">
        <f>+L10*N10/M10</f>
        <v>187500</v>
      </c>
      <c r="P10" s="2">
        <f>+O10*10^-3</f>
        <v>187.5</v>
      </c>
      <c r="Q10" s="2">
        <f>+P10*0.06</f>
        <v>11.25</v>
      </c>
    </row>
    <row r="11" spans="2:17" x14ac:dyDescent="0.25">
      <c r="B11" s="43" t="s">
        <v>111</v>
      </c>
      <c r="C11" s="43"/>
      <c r="D11" s="44">
        <f>50/20</f>
        <v>2.5</v>
      </c>
      <c r="E11" s="43"/>
      <c r="F11" s="2"/>
      <c r="J11" s="38"/>
    </row>
    <row r="12" spans="2:17" ht="15" customHeight="1" x14ac:dyDescent="0.25">
      <c r="B12" s="51" t="s">
        <v>106</v>
      </c>
      <c r="C12" s="51"/>
      <c r="D12" s="51"/>
      <c r="E12" s="51"/>
      <c r="F12" s="51"/>
      <c r="G12" s="51"/>
      <c r="J12" s="38"/>
      <c r="L12" s="2" t="s">
        <v>130</v>
      </c>
      <c r="M12" s="2"/>
      <c r="N12" s="2" t="s">
        <v>131</v>
      </c>
    </row>
    <row r="13" spans="2:17" x14ac:dyDescent="0.25">
      <c r="B13" s="51"/>
      <c r="C13" s="51"/>
      <c r="D13" s="51"/>
      <c r="E13" s="51"/>
      <c r="F13" s="51"/>
      <c r="G13" s="51"/>
      <c r="J13" s="38"/>
      <c r="L13" s="2">
        <f>Q10/N13</f>
        <v>0.1125</v>
      </c>
      <c r="M13" s="2"/>
      <c r="N13" s="2">
        <v>100</v>
      </c>
    </row>
    <row r="14" spans="2:17" x14ac:dyDescent="0.25">
      <c r="B14" s="51"/>
      <c r="C14" s="51"/>
      <c r="D14" s="51"/>
      <c r="E14" s="51"/>
      <c r="F14" s="51"/>
      <c r="G14" s="51"/>
      <c r="J14" s="38"/>
      <c r="L14" s="2" t="s">
        <v>132</v>
      </c>
      <c r="M14" s="2">
        <f>1/L13</f>
        <v>8.8888888888888893</v>
      </c>
      <c r="N14" s="2" t="s">
        <v>133</v>
      </c>
    </row>
    <row r="15" spans="2:17" x14ac:dyDescent="0.25">
      <c r="B15" s="51"/>
      <c r="C15" s="51"/>
      <c r="D15" s="51"/>
      <c r="E15" s="51"/>
      <c r="F15" s="51"/>
      <c r="G15" s="51"/>
      <c r="J15" s="38"/>
    </row>
    <row r="16" spans="2:17" x14ac:dyDescent="0.25">
      <c r="B16" s="51"/>
      <c r="C16" s="51"/>
      <c r="D16" s="51"/>
      <c r="E16" s="51"/>
      <c r="F16" s="51"/>
      <c r="G16" s="51"/>
      <c r="J16" s="38"/>
      <c r="M16" s="49" t="s">
        <v>134</v>
      </c>
    </row>
    <row r="17" spans="2:15" x14ac:dyDescent="0.25">
      <c r="B17" s="51" t="s">
        <v>107</v>
      </c>
      <c r="C17" s="51"/>
      <c r="D17" s="51"/>
      <c r="E17" s="51"/>
      <c r="F17" s="51"/>
      <c r="G17" s="51"/>
      <c r="J17" s="38"/>
      <c r="M17" s="2" t="s">
        <v>135</v>
      </c>
      <c r="N17" s="2" t="s">
        <v>138</v>
      </c>
    </row>
    <row r="18" spans="2:15" x14ac:dyDescent="0.25">
      <c r="B18" s="51"/>
      <c r="C18" s="51"/>
      <c r="D18" s="51"/>
      <c r="E18" s="51"/>
      <c r="F18" s="51"/>
      <c r="G18" s="51"/>
      <c r="J18" s="38"/>
      <c r="M18" s="2" t="s">
        <v>136</v>
      </c>
      <c r="N18" s="2" t="s">
        <v>139</v>
      </c>
    </row>
    <row r="19" spans="2:15" x14ac:dyDescent="0.25">
      <c r="B19" s="51"/>
      <c r="C19" s="51"/>
      <c r="D19" s="51"/>
      <c r="E19" s="51"/>
      <c r="F19" s="51"/>
      <c r="G19" s="51"/>
      <c r="J19" s="38"/>
      <c r="M19" s="2" t="s">
        <v>137</v>
      </c>
      <c r="N19" s="2" t="s">
        <v>140</v>
      </c>
    </row>
    <row r="20" spans="2:15" x14ac:dyDescent="0.25">
      <c r="B20" s="51"/>
      <c r="C20" s="51"/>
      <c r="D20" s="51"/>
      <c r="E20" s="51"/>
      <c r="F20" s="51"/>
      <c r="G20" s="51"/>
      <c r="J20" s="38"/>
    </row>
    <row r="21" spans="2:15" x14ac:dyDescent="0.25">
      <c r="B21" s="52" t="s">
        <v>108</v>
      </c>
      <c r="C21" s="52"/>
      <c r="D21" s="52"/>
      <c r="E21" s="2"/>
      <c r="F21" s="2"/>
      <c r="J21" s="38"/>
    </row>
    <row r="22" spans="2:15" x14ac:dyDescent="0.25">
      <c r="B22" s="2" t="s">
        <v>109</v>
      </c>
      <c r="C22" s="2" t="s">
        <v>110</v>
      </c>
      <c r="D22" s="2" t="s">
        <v>112</v>
      </c>
      <c r="E22" s="2" t="s">
        <v>104</v>
      </c>
      <c r="F22" s="2" t="s">
        <v>113</v>
      </c>
      <c r="J22" s="38"/>
      <c r="L22" s="51" t="s">
        <v>141</v>
      </c>
      <c r="M22" s="51"/>
      <c r="N22" s="51"/>
      <c r="O22" s="51"/>
    </row>
    <row r="23" spans="2:15" x14ac:dyDescent="0.25">
      <c r="B23" s="2">
        <v>1.3</v>
      </c>
      <c r="C23" s="40">
        <f>+B23/20</f>
        <v>6.5000000000000002E-2</v>
      </c>
      <c r="D23" s="41">
        <f>+D11</f>
        <v>2.5</v>
      </c>
      <c r="E23" s="2">
        <v>0.8</v>
      </c>
      <c r="F23" s="42">
        <f>+C23*D23/E23</f>
        <v>0.203125</v>
      </c>
      <c r="J23" s="38"/>
      <c r="L23" s="51"/>
      <c r="M23" s="51"/>
      <c r="N23" s="51"/>
      <c r="O23" s="51"/>
    </row>
    <row r="24" spans="2:15" x14ac:dyDescent="0.25">
      <c r="B24" s="51" t="s">
        <v>114</v>
      </c>
      <c r="C24" s="51"/>
      <c r="D24" s="51"/>
      <c r="E24" s="51"/>
      <c r="F24" s="51"/>
      <c r="J24" s="38"/>
      <c r="L24" s="51"/>
      <c r="M24" s="51"/>
      <c r="N24" s="51"/>
      <c r="O24" s="51"/>
    </row>
    <row r="25" spans="2:15" x14ac:dyDescent="0.25">
      <c r="B25" s="51"/>
      <c r="C25" s="51"/>
      <c r="D25" s="51"/>
      <c r="E25" s="51"/>
      <c r="F25" s="51"/>
      <c r="J25" s="38"/>
      <c r="L25" s="51"/>
      <c r="M25" s="51"/>
      <c r="N25" s="51"/>
      <c r="O25" s="51"/>
    </row>
    <row r="26" spans="2:15" x14ac:dyDescent="0.25">
      <c r="B26" s="51"/>
      <c r="C26" s="51"/>
      <c r="D26" s="51"/>
      <c r="E26" s="51"/>
      <c r="F26" s="51"/>
      <c r="J26" s="38"/>
      <c r="L26" s="51"/>
      <c r="M26" s="51"/>
      <c r="N26" s="51"/>
      <c r="O26" s="51"/>
    </row>
    <row r="27" spans="2:15" x14ac:dyDescent="0.25">
      <c r="B27" s="51"/>
      <c r="C27" s="51"/>
      <c r="D27" s="51"/>
      <c r="E27" s="51"/>
      <c r="F27" s="51"/>
      <c r="J27" s="38"/>
      <c r="L27" s="51"/>
      <c r="M27" s="51"/>
      <c r="N27" s="51"/>
      <c r="O27" s="51"/>
    </row>
    <row r="28" spans="2:15" x14ac:dyDescent="0.25">
      <c r="B28" s="51"/>
      <c r="C28" s="51"/>
      <c r="D28" s="51"/>
      <c r="E28" s="51"/>
      <c r="F28" s="51"/>
      <c r="H28" t="s">
        <v>148</v>
      </c>
      <c r="J28" s="38"/>
      <c r="L28" s="51"/>
      <c r="M28" s="51"/>
      <c r="N28" s="51"/>
      <c r="O28" s="51"/>
    </row>
    <row r="29" spans="2:15" x14ac:dyDescent="0.25">
      <c r="B29" s="51"/>
      <c r="C29" s="51"/>
      <c r="D29" s="51"/>
      <c r="E29" s="51"/>
      <c r="F29" s="51"/>
      <c r="H29" t="s">
        <v>149</v>
      </c>
      <c r="J29" s="38"/>
    </row>
    <row r="30" spans="2:15" ht="15" customHeight="1" x14ac:dyDescent="0.35">
      <c r="B30" s="51"/>
      <c r="C30" s="51"/>
      <c r="D30" s="51"/>
      <c r="E30" s="51"/>
      <c r="F30" s="51"/>
      <c r="H30" t="s">
        <v>150</v>
      </c>
      <c r="J30" s="38"/>
      <c r="L30" s="84" t="s">
        <v>129</v>
      </c>
      <c r="M30" s="85"/>
      <c r="N30" s="85"/>
      <c r="O30" s="86"/>
    </row>
    <row r="31" spans="2:15" x14ac:dyDescent="0.25">
      <c r="B31" s="51"/>
      <c r="C31" s="51"/>
      <c r="D31" s="51"/>
      <c r="E31" s="51"/>
      <c r="F31" s="51"/>
      <c r="G31" s="94" t="s">
        <v>152</v>
      </c>
      <c r="H31" t="s">
        <v>151</v>
      </c>
      <c r="J31" s="38"/>
      <c r="L31" s="87"/>
      <c r="M31" s="88"/>
      <c r="N31" s="88"/>
      <c r="O31" s="89"/>
    </row>
    <row r="32" spans="2:15" x14ac:dyDescent="0.25">
      <c r="B32" s="53" t="s">
        <v>115</v>
      </c>
      <c r="C32" s="53"/>
      <c r="D32" s="53"/>
      <c r="E32" s="53"/>
      <c r="F32" s="53"/>
      <c r="J32" s="38"/>
      <c r="L32" s="87"/>
      <c r="M32" s="88"/>
      <c r="N32" s="88"/>
      <c r="O32" s="89"/>
    </row>
    <row r="33" spans="2:15" x14ac:dyDescent="0.25">
      <c r="B33" s="53"/>
      <c r="C33" s="53"/>
      <c r="D33" s="53"/>
      <c r="E33" s="53"/>
      <c r="F33" s="53"/>
      <c r="H33" s="96" t="s">
        <v>160</v>
      </c>
      <c r="J33" s="38"/>
      <c r="L33" s="87"/>
      <c r="M33" s="88"/>
      <c r="N33" s="88"/>
      <c r="O33" s="89"/>
    </row>
    <row r="34" spans="2:15" x14ac:dyDescent="0.25">
      <c r="B34" s="53"/>
      <c r="C34" s="53"/>
      <c r="D34" s="53"/>
      <c r="E34" s="53"/>
      <c r="F34" s="53"/>
      <c r="H34" s="96"/>
      <c r="J34" s="38"/>
      <c r="L34" s="87"/>
      <c r="M34" s="88"/>
      <c r="N34" s="88"/>
      <c r="O34" s="89"/>
    </row>
    <row r="35" spans="2:15" x14ac:dyDescent="0.25">
      <c r="B35" s="53"/>
      <c r="C35" s="53"/>
      <c r="D35" s="53"/>
      <c r="E35" s="53"/>
      <c r="F35" s="53"/>
      <c r="L35" s="90"/>
      <c r="M35" s="91"/>
      <c r="N35" s="91"/>
      <c r="O35" s="92"/>
    </row>
    <row r="36" spans="2:15" ht="15" customHeight="1" x14ac:dyDescent="0.25"/>
    <row r="38" spans="2:15" x14ac:dyDescent="0.25">
      <c r="B38" s="93" t="s">
        <v>142</v>
      </c>
      <c r="C38" s="93"/>
      <c r="D38" s="93"/>
      <c r="E38" s="93"/>
      <c r="F38" s="93"/>
      <c r="G38" s="93"/>
      <c r="H38" s="93"/>
      <c r="I38" s="93"/>
    </row>
    <row r="39" spans="2:15" x14ac:dyDescent="0.25">
      <c r="B39" s="93"/>
      <c r="C39" s="93"/>
      <c r="D39" s="93"/>
      <c r="E39" s="93"/>
      <c r="F39" s="93"/>
      <c r="G39" s="93"/>
      <c r="H39" s="93"/>
      <c r="I39" s="93"/>
    </row>
    <row r="40" spans="2:15" x14ac:dyDescent="0.25">
      <c r="B40" s="93"/>
      <c r="C40" s="93"/>
      <c r="D40" s="93"/>
      <c r="E40" s="93"/>
      <c r="F40" s="93"/>
      <c r="G40" s="93"/>
      <c r="H40" s="93"/>
      <c r="I40" s="93"/>
    </row>
    <row r="41" spans="2:15" x14ac:dyDescent="0.25">
      <c r="B41" s="93"/>
      <c r="C41" s="93"/>
      <c r="D41" s="93"/>
      <c r="E41" s="93"/>
      <c r="F41" s="93"/>
      <c r="G41" s="93"/>
      <c r="H41" s="93"/>
      <c r="I41" s="93"/>
    </row>
    <row r="42" spans="2:15" x14ac:dyDescent="0.25">
      <c r="B42" s="2" t="s">
        <v>143</v>
      </c>
      <c r="C42" s="2">
        <v>1</v>
      </c>
      <c r="D42" s="2" t="s">
        <v>144</v>
      </c>
      <c r="E42" s="2">
        <f>C42*10^3/60</f>
        <v>16.666666666666668</v>
      </c>
      <c r="F42" s="2" t="s">
        <v>147</v>
      </c>
      <c r="G42" s="2"/>
      <c r="H42" s="2"/>
    </row>
    <row r="43" spans="2:15" x14ac:dyDescent="0.25">
      <c r="B43" s="2" t="s">
        <v>145</v>
      </c>
      <c r="C43" s="2">
        <v>4</v>
      </c>
      <c r="D43" s="2" t="s">
        <v>81</v>
      </c>
      <c r="E43" s="2"/>
      <c r="F43" s="2"/>
      <c r="G43" s="2"/>
      <c r="H43" s="2"/>
    </row>
    <row r="44" spans="2:15" x14ac:dyDescent="0.25">
      <c r="B44" s="2" t="s">
        <v>146</v>
      </c>
      <c r="C44" s="2">
        <f>+C43*20%</f>
        <v>0.8</v>
      </c>
      <c r="D44" s="2" t="s">
        <v>81</v>
      </c>
      <c r="E44" s="2"/>
      <c r="F44" s="2"/>
      <c r="G44" s="2"/>
      <c r="H44" s="2"/>
    </row>
    <row r="45" spans="2:15" x14ac:dyDescent="0.25">
      <c r="B45" s="2" t="s">
        <v>152</v>
      </c>
      <c r="C45" s="2">
        <f>+E42*5/C44%</f>
        <v>10416.666666666668</v>
      </c>
      <c r="D45" s="2" t="s">
        <v>147</v>
      </c>
      <c r="E45" s="2">
        <f>+C45*10^-3</f>
        <v>10.416666666666668</v>
      </c>
      <c r="F45" s="2" t="s">
        <v>153</v>
      </c>
      <c r="G45" s="2">
        <f>E45*10^-3</f>
        <v>1.0416666666666668E-2</v>
      </c>
      <c r="H45" s="2" t="s">
        <v>157</v>
      </c>
    </row>
    <row r="46" spans="2:15" x14ac:dyDescent="0.25">
      <c r="B46" s="95" t="s">
        <v>155</v>
      </c>
      <c r="C46" s="2">
        <v>100</v>
      </c>
      <c r="D46" s="95" t="s">
        <v>156</v>
      </c>
      <c r="E46" s="2"/>
      <c r="F46" s="2"/>
      <c r="G46" s="2"/>
      <c r="H46" s="2"/>
    </row>
    <row r="47" spans="2:15" x14ac:dyDescent="0.25">
      <c r="B47" s="95" t="s">
        <v>154</v>
      </c>
      <c r="C47" s="2">
        <f>+G45*60/C46</f>
        <v>6.2500000000000012E-3</v>
      </c>
      <c r="D47" s="95" t="s">
        <v>158</v>
      </c>
      <c r="E47" s="84" t="s">
        <v>159</v>
      </c>
      <c r="F47" s="85"/>
      <c r="G47" s="85"/>
      <c r="H47" s="86"/>
    </row>
    <row r="48" spans="2:15" x14ac:dyDescent="0.25">
      <c r="B48" s="2"/>
      <c r="C48" s="2"/>
      <c r="D48" s="2">
        <f>1/C47</f>
        <v>159.99999999999997</v>
      </c>
      <c r="E48" s="90"/>
      <c r="F48" s="91"/>
      <c r="G48" s="91"/>
      <c r="H48" s="92"/>
    </row>
    <row r="49" spans="2:8" x14ac:dyDescent="0.25">
      <c r="B49" s="95" t="s">
        <v>161</v>
      </c>
      <c r="C49" s="2">
        <f>+C44</f>
        <v>0.8</v>
      </c>
      <c r="D49" s="2"/>
      <c r="E49" s="2"/>
      <c r="F49" s="2"/>
      <c r="G49" s="2"/>
      <c r="H49" s="2"/>
    </row>
    <row r="50" spans="2:8" x14ac:dyDescent="0.25">
      <c r="B50" s="95" t="s">
        <v>162</v>
      </c>
      <c r="C50" s="2">
        <f>+C43*1%</f>
        <v>0.04</v>
      </c>
      <c r="D50" s="2" t="s">
        <v>164</v>
      </c>
      <c r="E50" s="2"/>
      <c r="F50" s="2"/>
      <c r="G50" s="2"/>
      <c r="H50" s="2"/>
    </row>
    <row r="51" spans="2:8" x14ac:dyDescent="0.25">
      <c r="B51" s="95" t="s">
        <v>163</v>
      </c>
      <c r="C51" s="2">
        <f>LN(C49/C50)/C47</f>
        <v>479.31716376863847</v>
      </c>
      <c r="D51" s="2" t="s">
        <v>165</v>
      </c>
      <c r="E51" s="2"/>
      <c r="F51" s="2"/>
      <c r="G51" s="2"/>
      <c r="H51" s="2"/>
    </row>
    <row r="52" spans="2:8" x14ac:dyDescent="0.25">
      <c r="B52" s="95" t="s">
        <v>163</v>
      </c>
      <c r="C52" s="2">
        <f>+LN(C49/C50)/6*60</f>
        <v>29.957322735539908</v>
      </c>
      <c r="D52" s="2" t="s">
        <v>166</v>
      </c>
      <c r="E52" s="2"/>
      <c r="F52" s="2"/>
      <c r="G52" s="2"/>
      <c r="H52" s="2"/>
    </row>
  </sheetData>
  <mergeCells count="17">
    <mergeCell ref="B38:I41"/>
    <mergeCell ref="E47:H48"/>
    <mergeCell ref="H33:H34"/>
    <mergeCell ref="L2:O2"/>
    <mergeCell ref="L5:O6"/>
    <mergeCell ref="L22:O28"/>
    <mergeCell ref="B12:G16"/>
    <mergeCell ref="B17:G20"/>
    <mergeCell ref="B21:D21"/>
    <mergeCell ref="B24:F31"/>
    <mergeCell ref="B32:F35"/>
    <mergeCell ref="B2:F2"/>
    <mergeCell ref="G4:G5"/>
    <mergeCell ref="H4:H5"/>
    <mergeCell ref="I4:I5"/>
    <mergeCell ref="B7:F10"/>
    <mergeCell ref="L30:O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9C86-90F0-4AFB-9660-5CF6CCD24714}">
  <dimension ref="B2:T34"/>
  <sheetViews>
    <sheetView tabSelected="1" workbookViewId="0">
      <selection activeCell="V7" sqref="V7"/>
    </sheetView>
  </sheetViews>
  <sheetFormatPr defaultRowHeight="15" x14ac:dyDescent="0.25"/>
  <cols>
    <col min="8" max="8" width="14.42578125" bestFit="1" customWidth="1"/>
  </cols>
  <sheetData>
    <row r="2" spans="2:20" x14ac:dyDescent="0.25">
      <c r="B2" s="51" t="s">
        <v>169</v>
      </c>
      <c r="C2" s="51"/>
      <c r="D2" s="51"/>
      <c r="E2" s="51"/>
    </row>
    <row r="3" spans="2:20" x14ac:dyDescent="0.25">
      <c r="B3" s="51"/>
      <c r="C3" s="51"/>
      <c r="D3" s="51"/>
      <c r="E3" s="51"/>
      <c r="H3" s="51" t="s">
        <v>185</v>
      </c>
      <c r="I3" s="51"/>
      <c r="J3" s="51"/>
      <c r="K3" s="51"/>
      <c r="L3" s="51"/>
      <c r="M3" s="51"/>
    </row>
    <row r="4" spans="2:20" x14ac:dyDescent="0.25">
      <c r="H4" s="51"/>
      <c r="I4" s="51"/>
      <c r="J4" s="51"/>
      <c r="K4" s="51"/>
      <c r="L4" s="51"/>
      <c r="M4" s="51"/>
    </row>
    <row r="5" spans="2:20" x14ac:dyDescent="0.25">
      <c r="B5" s="97" t="s">
        <v>167</v>
      </c>
      <c r="C5" s="97"/>
      <c r="H5" s="2" t="s">
        <v>172</v>
      </c>
      <c r="I5" s="2">
        <v>2024</v>
      </c>
      <c r="J5" s="2" t="s">
        <v>173</v>
      </c>
      <c r="K5" s="2"/>
      <c r="L5" s="2"/>
      <c r="M5" s="2"/>
    </row>
    <row r="6" spans="2:20" ht="18" x14ac:dyDescent="0.35">
      <c r="B6" s="2" t="s">
        <v>168</v>
      </c>
      <c r="C6" s="2"/>
      <c r="D6" s="2"/>
      <c r="E6" s="2"/>
      <c r="F6" s="2"/>
      <c r="H6" s="2" t="s">
        <v>174</v>
      </c>
      <c r="I6" s="2">
        <v>1600</v>
      </c>
      <c r="J6" s="2" t="s">
        <v>175</v>
      </c>
      <c r="K6" s="2"/>
      <c r="L6" s="2"/>
      <c r="M6" s="2"/>
    </row>
    <row r="7" spans="2:20" x14ac:dyDescent="0.25">
      <c r="B7" s="98" t="s">
        <v>170</v>
      </c>
      <c r="C7" s="98"/>
      <c r="D7" s="98"/>
      <c r="E7" s="98"/>
      <c r="F7" s="98"/>
      <c r="H7" s="2" t="s">
        <v>176</v>
      </c>
      <c r="I7" s="2">
        <v>298</v>
      </c>
      <c r="J7" s="2" t="s">
        <v>175</v>
      </c>
      <c r="K7" s="2"/>
      <c r="L7" s="2"/>
      <c r="M7" s="2"/>
    </row>
    <row r="8" spans="2:20" ht="18" x14ac:dyDescent="0.35">
      <c r="B8" s="98"/>
      <c r="C8" s="98"/>
      <c r="D8" s="98"/>
      <c r="E8" s="98"/>
      <c r="F8" s="98"/>
      <c r="H8" s="2" t="s">
        <v>177</v>
      </c>
      <c r="I8" s="2">
        <v>31.5</v>
      </c>
      <c r="J8" s="2" t="s">
        <v>178</v>
      </c>
      <c r="K8" s="99" t="s">
        <v>179</v>
      </c>
      <c r="L8" s="99"/>
      <c r="M8" s="99"/>
      <c r="P8" s="2" t="s">
        <v>194</v>
      </c>
      <c r="Q8" s="2" t="s">
        <v>193</v>
      </c>
      <c r="R8" s="2"/>
      <c r="S8" s="2"/>
      <c r="T8" s="2"/>
    </row>
    <row r="9" spans="2:20" ht="23.25" customHeight="1" x14ac:dyDescent="0.25">
      <c r="B9" s="98"/>
      <c r="C9" s="98"/>
      <c r="D9" s="98"/>
      <c r="E9" s="98"/>
      <c r="F9" s="98"/>
      <c r="H9" s="2" t="s">
        <v>180</v>
      </c>
      <c r="I9" s="2">
        <f>+I6-I7</f>
        <v>1302</v>
      </c>
      <c r="J9" s="2" t="s">
        <v>175</v>
      </c>
      <c r="K9" s="2"/>
      <c r="L9" s="2"/>
      <c r="M9" s="2"/>
      <c r="P9" s="2"/>
      <c r="Q9" s="2"/>
      <c r="R9" s="2"/>
      <c r="S9" s="2"/>
      <c r="T9" s="2"/>
    </row>
    <row r="10" spans="2:20" ht="18" x14ac:dyDescent="0.35">
      <c r="B10" s="98"/>
      <c r="C10" s="98"/>
      <c r="D10" s="98"/>
      <c r="E10" s="98"/>
      <c r="F10" s="98"/>
      <c r="H10" s="2" t="s">
        <v>181</v>
      </c>
      <c r="I10" s="2">
        <f>+I8*I9*10^-3</f>
        <v>41.012999999999998</v>
      </c>
      <c r="J10" s="2" t="s">
        <v>173</v>
      </c>
      <c r="K10" s="99" t="s">
        <v>182</v>
      </c>
      <c r="L10" s="99"/>
      <c r="M10" s="99"/>
      <c r="P10" s="2" t="s">
        <v>195</v>
      </c>
      <c r="Q10" s="2">
        <v>30</v>
      </c>
      <c r="R10" s="2" t="s">
        <v>196</v>
      </c>
      <c r="S10" s="2">
        <f>+Q10/10</f>
        <v>3</v>
      </c>
      <c r="T10" s="2" t="s">
        <v>193</v>
      </c>
    </row>
    <row r="11" spans="2:20" x14ac:dyDescent="0.25">
      <c r="B11" s="51" t="s">
        <v>171</v>
      </c>
      <c r="C11" s="51"/>
      <c r="D11" s="51"/>
      <c r="E11" s="51"/>
      <c r="F11" s="51"/>
      <c r="H11" s="2" t="s">
        <v>183</v>
      </c>
      <c r="I11" s="2">
        <f>+I10/I5*100</f>
        <v>2.0263339920948615</v>
      </c>
      <c r="J11" s="2" t="s">
        <v>81</v>
      </c>
      <c r="K11" s="2"/>
      <c r="L11" s="2"/>
      <c r="M11" s="2"/>
      <c r="P11" s="2"/>
      <c r="Q11" s="2"/>
      <c r="R11" s="2"/>
      <c r="S11" s="2"/>
      <c r="T11" s="2"/>
    </row>
    <row r="12" spans="2:20" x14ac:dyDescent="0.25">
      <c r="B12" s="51"/>
      <c r="C12" s="51"/>
      <c r="D12" s="51"/>
      <c r="E12" s="51"/>
      <c r="F12" s="51"/>
      <c r="P12" s="2" t="s">
        <v>197</v>
      </c>
      <c r="Q12" s="2">
        <f>+I11*(1-0.19*LOG10(S10))</f>
        <v>1.8426406589048749</v>
      </c>
      <c r="R12" s="2" t="s">
        <v>81</v>
      </c>
      <c r="S12" s="2"/>
      <c r="T12" s="2"/>
    </row>
    <row r="13" spans="2:20" x14ac:dyDescent="0.25">
      <c r="B13" s="51"/>
      <c r="C13" s="51"/>
      <c r="D13" s="51"/>
      <c r="E13" s="51"/>
      <c r="F13" s="51"/>
    </row>
    <row r="14" spans="2:20" x14ac:dyDescent="0.25">
      <c r="B14" s="51"/>
      <c r="C14" s="51"/>
      <c r="D14" s="51"/>
      <c r="E14" s="51"/>
      <c r="F14" s="51"/>
      <c r="H14" s="51" t="s">
        <v>186</v>
      </c>
      <c r="I14" s="51"/>
      <c r="J14" s="51"/>
      <c r="K14" s="51"/>
    </row>
    <row r="15" spans="2:20" x14ac:dyDescent="0.25">
      <c r="B15" s="51"/>
      <c r="C15" s="51"/>
      <c r="D15" s="51"/>
      <c r="E15" s="51"/>
      <c r="F15" s="51"/>
      <c r="H15" s="51"/>
      <c r="I15" s="51"/>
      <c r="J15" s="51"/>
      <c r="K15" s="51"/>
      <c r="N15" s="101">
        <f>+I11/I24</f>
        <v>0.6561133097271401</v>
      </c>
    </row>
    <row r="16" spans="2:20" x14ac:dyDescent="0.25">
      <c r="H16" s="93" t="s">
        <v>187</v>
      </c>
      <c r="I16" s="93"/>
      <c r="J16" s="93"/>
      <c r="K16" s="93"/>
      <c r="L16" s="93"/>
      <c r="M16" s="93"/>
    </row>
    <row r="17" spans="2:18" x14ac:dyDescent="0.25">
      <c r="H17" s="93"/>
      <c r="I17" s="93"/>
      <c r="J17" s="93"/>
      <c r="K17" s="93"/>
      <c r="L17" s="93"/>
      <c r="M17" s="93"/>
    </row>
    <row r="18" spans="2:18" x14ac:dyDescent="0.25">
      <c r="H18" s="93"/>
      <c r="I18" s="93"/>
      <c r="J18" s="93"/>
      <c r="K18" s="93"/>
      <c r="L18" s="93"/>
      <c r="M18" s="93"/>
    </row>
    <row r="20" spans="2:18" ht="18" customHeight="1" x14ac:dyDescent="0.35">
      <c r="H20" s="2" t="s">
        <v>188</v>
      </c>
      <c r="I20" s="2">
        <v>33</v>
      </c>
      <c r="J20" s="2" t="s">
        <v>178</v>
      </c>
      <c r="L20" s="100" t="s">
        <v>191</v>
      </c>
      <c r="M20" s="100"/>
      <c r="N20" s="100"/>
      <c r="O20" s="100"/>
      <c r="P20" s="100"/>
      <c r="Q20" s="100"/>
      <c r="R20" s="100"/>
    </row>
    <row r="21" spans="2:18" ht="18" x14ac:dyDescent="0.35">
      <c r="B21" s="93" t="s">
        <v>184</v>
      </c>
      <c r="C21" s="93"/>
      <c r="D21" s="93"/>
      <c r="E21" s="93"/>
      <c r="F21" s="93"/>
      <c r="G21" s="93"/>
      <c r="H21" s="2" t="s">
        <v>189</v>
      </c>
      <c r="I21" s="2">
        <v>52</v>
      </c>
      <c r="J21" s="2" t="s">
        <v>178</v>
      </c>
      <c r="L21" s="100"/>
      <c r="M21" s="100"/>
      <c r="N21" s="100"/>
      <c r="O21" s="100"/>
      <c r="P21" s="100"/>
      <c r="Q21" s="100"/>
      <c r="R21" s="100"/>
    </row>
    <row r="22" spans="2:18" x14ac:dyDescent="0.25">
      <c r="B22" s="93"/>
      <c r="C22" s="93"/>
      <c r="D22" s="93"/>
      <c r="E22" s="93"/>
      <c r="F22" s="93"/>
      <c r="G22" s="93"/>
      <c r="H22" s="2" t="s">
        <v>190</v>
      </c>
      <c r="I22" s="2">
        <f>21%*I20+79%*I21</f>
        <v>48.01</v>
      </c>
      <c r="J22" s="2" t="s">
        <v>178</v>
      </c>
      <c r="L22" s="100"/>
      <c r="M22" s="100"/>
      <c r="N22" s="100"/>
      <c r="O22" s="100"/>
      <c r="P22" s="100"/>
      <c r="Q22" s="100"/>
      <c r="R22" s="100"/>
    </row>
    <row r="23" spans="2:18" ht="18" x14ac:dyDescent="0.35">
      <c r="B23" s="93"/>
      <c r="C23" s="93"/>
      <c r="D23" s="93"/>
      <c r="E23" s="93"/>
      <c r="F23" s="93"/>
      <c r="G23" s="93"/>
      <c r="H23" s="2" t="s">
        <v>181</v>
      </c>
      <c r="I23" s="2">
        <f>+I22*I9*10^-3</f>
        <v>62.50902</v>
      </c>
      <c r="J23" s="95" t="s">
        <v>173</v>
      </c>
      <c r="L23" s="100"/>
      <c r="M23" s="100"/>
      <c r="N23" s="100"/>
      <c r="O23" s="100"/>
      <c r="P23" s="100"/>
      <c r="Q23" s="100"/>
      <c r="R23" s="100"/>
    </row>
    <row r="24" spans="2:18" x14ac:dyDescent="0.25">
      <c r="B24" s="93"/>
      <c r="C24" s="93"/>
      <c r="D24" s="93"/>
      <c r="E24" s="93"/>
      <c r="F24" s="93"/>
      <c r="G24" s="93"/>
      <c r="H24" s="95" t="s">
        <v>183</v>
      </c>
      <c r="I24" s="2">
        <f>+I23/I5*100</f>
        <v>3.0883903162055337</v>
      </c>
      <c r="J24" s="95" t="s">
        <v>81</v>
      </c>
      <c r="L24" s="100"/>
      <c r="M24" s="100"/>
      <c r="N24" s="100"/>
      <c r="O24" s="100"/>
      <c r="P24" s="100"/>
      <c r="Q24" s="100"/>
      <c r="R24" s="100"/>
    </row>
    <row r="25" spans="2:18" x14ac:dyDescent="0.25">
      <c r="B25" s="93"/>
      <c r="C25" s="93"/>
      <c r="D25" s="93"/>
      <c r="E25" s="93"/>
      <c r="F25" s="93"/>
      <c r="G25" s="93"/>
      <c r="L25" s="100"/>
      <c r="M25" s="100"/>
      <c r="N25" s="100"/>
      <c r="O25" s="100"/>
      <c r="P25" s="100"/>
      <c r="Q25" s="100"/>
      <c r="R25" s="100"/>
    </row>
    <row r="26" spans="2:18" x14ac:dyDescent="0.25">
      <c r="L26" s="100"/>
      <c r="M26" s="100"/>
      <c r="N26" s="100"/>
      <c r="O26" s="100"/>
      <c r="P26" s="100"/>
      <c r="Q26" s="100"/>
      <c r="R26" s="100"/>
    </row>
    <row r="27" spans="2:18" x14ac:dyDescent="0.25">
      <c r="B27" s="93" t="s">
        <v>192</v>
      </c>
      <c r="C27" s="93"/>
      <c r="D27" s="93"/>
      <c r="E27" s="93"/>
      <c r="F27" s="93"/>
      <c r="G27" s="93"/>
      <c r="H27" s="93"/>
      <c r="I27" s="93"/>
      <c r="J27" s="93"/>
      <c r="L27" s="100"/>
      <c r="M27" s="100"/>
      <c r="N27" s="100"/>
      <c r="O27" s="100"/>
      <c r="P27" s="100"/>
      <c r="Q27" s="100"/>
      <c r="R27" s="100"/>
    </row>
    <row r="28" spans="2:18" x14ac:dyDescent="0.25">
      <c r="B28" s="93"/>
      <c r="C28" s="93"/>
      <c r="D28" s="93"/>
      <c r="E28" s="93"/>
      <c r="F28" s="93"/>
      <c r="G28" s="93"/>
      <c r="H28" s="93"/>
      <c r="I28" s="93"/>
      <c r="J28" s="93"/>
      <c r="L28" s="100"/>
      <c r="M28" s="100"/>
      <c r="N28" s="100"/>
      <c r="O28" s="100"/>
      <c r="P28" s="100"/>
      <c r="Q28" s="100"/>
      <c r="R28" s="100"/>
    </row>
    <row r="29" spans="2:18" x14ac:dyDescent="0.25">
      <c r="B29" s="93"/>
      <c r="C29" s="93"/>
      <c r="D29" s="93"/>
      <c r="E29" s="93"/>
      <c r="F29" s="93"/>
      <c r="G29" s="93"/>
      <c r="H29" s="93"/>
      <c r="I29" s="93"/>
      <c r="J29" s="93"/>
      <c r="L29" s="100"/>
      <c r="M29" s="100"/>
      <c r="N29" s="100"/>
      <c r="O29" s="100"/>
      <c r="P29" s="100"/>
      <c r="Q29" s="100"/>
      <c r="R29" s="100"/>
    </row>
    <row r="30" spans="2:18" x14ac:dyDescent="0.25">
      <c r="B30" s="93"/>
      <c r="C30" s="93"/>
      <c r="D30" s="93"/>
      <c r="E30" s="93"/>
      <c r="F30" s="93"/>
      <c r="G30" s="93"/>
      <c r="H30" s="93"/>
      <c r="I30" s="93"/>
      <c r="J30" s="93"/>
      <c r="L30" s="100"/>
      <c r="M30" s="100"/>
      <c r="N30" s="100"/>
      <c r="O30" s="100"/>
      <c r="P30" s="100"/>
      <c r="Q30" s="100"/>
      <c r="R30" s="100"/>
    </row>
    <row r="31" spans="2:18" x14ac:dyDescent="0.25">
      <c r="B31" s="93"/>
      <c r="C31" s="93"/>
      <c r="D31" s="93"/>
      <c r="E31" s="93"/>
      <c r="F31" s="93"/>
      <c r="G31" s="93"/>
      <c r="H31" s="93"/>
      <c r="I31" s="93"/>
      <c r="J31" s="93"/>
      <c r="L31" s="100"/>
      <c r="M31" s="100"/>
      <c r="N31" s="100"/>
      <c r="O31" s="100"/>
      <c r="P31" s="100"/>
      <c r="Q31" s="100"/>
      <c r="R31" s="100"/>
    </row>
    <row r="32" spans="2:18" x14ac:dyDescent="0.25">
      <c r="B32" s="93"/>
      <c r="C32" s="93"/>
      <c r="D32" s="93"/>
      <c r="E32" s="93"/>
      <c r="F32" s="93"/>
      <c r="G32" s="93"/>
      <c r="H32" s="93"/>
      <c r="I32" s="93"/>
      <c r="J32" s="93"/>
      <c r="L32" s="100"/>
      <c r="M32" s="100"/>
      <c r="N32" s="100"/>
      <c r="O32" s="100"/>
      <c r="P32" s="100"/>
      <c r="Q32" s="100"/>
      <c r="R32" s="100"/>
    </row>
    <row r="33" spans="2:18" x14ac:dyDescent="0.25">
      <c r="B33" s="93"/>
      <c r="C33" s="93"/>
      <c r="D33" s="93"/>
      <c r="E33" s="93"/>
      <c r="F33" s="93"/>
      <c r="G33" s="93"/>
      <c r="H33" s="93"/>
      <c r="I33" s="93"/>
      <c r="J33" s="93"/>
      <c r="L33" s="100"/>
      <c r="M33" s="100"/>
      <c r="N33" s="100"/>
      <c r="O33" s="100"/>
      <c r="P33" s="100"/>
      <c r="Q33" s="100"/>
      <c r="R33" s="100"/>
    </row>
    <row r="34" spans="2:18" x14ac:dyDescent="0.25">
      <c r="B34" s="93"/>
      <c r="C34" s="93"/>
      <c r="D34" s="93"/>
      <c r="E34" s="93"/>
      <c r="F34" s="93"/>
      <c r="G34" s="93"/>
      <c r="H34" s="93"/>
      <c r="I34" s="93"/>
      <c r="J34" s="93"/>
    </row>
  </sheetData>
  <mergeCells count="12">
    <mergeCell ref="B21:G25"/>
    <mergeCell ref="H3:M4"/>
    <mergeCell ref="H14:K15"/>
    <mergeCell ref="H16:M18"/>
    <mergeCell ref="L20:R33"/>
    <mergeCell ref="B27:J34"/>
    <mergeCell ref="B2:E3"/>
    <mergeCell ref="B5:C5"/>
    <mergeCell ref="B7:F10"/>
    <mergeCell ref="B11:F15"/>
    <mergeCell ref="K8:M8"/>
    <mergeCell ref="K10:M10"/>
  </mergeCells>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flammability_chart</vt:lpstr>
      <vt:lpstr>ISO10156 Method</vt:lpstr>
      <vt:lpstr>Venti_LEL</vt:lpstr>
      <vt:lpstr>LFL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sankar sasmal</cp:lastModifiedBy>
  <dcterms:created xsi:type="dcterms:W3CDTF">2019-03-27T03:32:27Z</dcterms:created>
  <dcterms:modified xsi:type="dcterms:W3CDTF">2026-05-12T16:25:33Z</dcterms:modified>
</cp:coreProperties>
</file>