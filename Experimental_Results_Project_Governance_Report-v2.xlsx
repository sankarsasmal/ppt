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nka\Downloads\"/>
    </mc:Choice>
  </mc:AlternateContent>
  <xr:revisionPtr revIDLastSave="0" documentId="13_ncr:1_{FB6044BF-BEDD-4D93-A47D-4CEDCEAD96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1_Summary" sheetId="1" r:id="rId1"/>
    <sheet name="02_Calculations_Data" sheetId="2" r:id="rId2"/>
    <sheet name="03_Governance_Q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2" l="1"/>
  <c r="K17" i="2"/>
  <c r="J17" i="2"/>
  <c r="I17" i="2"/>
  <c r="H17" i="2"/>
  <c r="G17" i="2"/>
  <c r="F17" i="2"/>
  <c r="E17" i="2"/>
  <c r="D17" i="2"/>
  <c r="C17" i="2"/>
  <c r="B17" i="2"/>
  <c r="O16" i="2"/>
  <c r="N16" i="2"/>
  <c r="M16" i="2"/>
  <c r="L16" i="2"/>
  <c r="N15" i="2"/>
  <c r="M15" i="2"/>
  <c r="O15" i="2" s="1"/>
  <c r="L15" i="2"/>
  <c r="O14" i="2"/>
  <c r="N14" i="2"/>
  <c r="M14" i="2"/>
  <c r="L14" i="2"/>
  <c r="N13" i="2"/>
  <c r="M13" i="2"/>
  <c r="O13" i="2" s="1"/>
  <c r="L13" i="2"/>
  <c r="O12" i="2"/>
  <c r="N12" i="2"/>
  <c r="C17" i="1" s="1"/>
  <c r="D17" i="1" s="1"/>
  <c r="M12" i="2"/>
  <c r="L12" i="2"/>
  <c r="N11" i="2"/>
  <c r="M11" i="2"/>
  <c r="O11" i="2" s="1"/>
  <c r="L11" i="2"/>
  <c r="O10" i="2"/>
  <c r="N10" i="2"/>
  <c r="M10" i="2"/>
  <c r="L10" i="2"/>
  <c r="N9" i="2"/>
  <c r="M9" i="2"/>
  <c r="M17" i="2" s="1"/>
  <c r="L9" i="2"/>
  <c r="L17" i="2" s="1"/>
  <c r="C19" i="1"/>
  <c r="D19" i="1" s="1"/>
  <c r="C18" i="1"/>
  <c r="D18" i="1" s="1"/>
  <c r="O9" i="2" l="1"/>
  <c r="O17" i="2" l="1"/>
  <c r="C16" i="1"/>
  <c r="D16" i="1" s="1"/>
</calcChain>
</file>

<file path=xl/sharedStrings.xml><?xml version="1.0" encoding="utf-8"?>
<sst xmlns="http://schemas.openxmlformats.org/spreadsheetml/2006/main" count="178" uniqueCount="164">
  <si>
    <t>Experimental Results &amp; Performance Summary</t>
  </si>
  <si>
    <t>Project H1: Reforming Run Performance &amp; Milestone Review</t>
  </si>
  <si>
    <t>Project Name:</t>
  </si>
  <si>
    <t>Project H1 - Light Naphtha Reforming</t>
  </si>
  <si>
    <t>Date:</t>
  </si>
  <si>
    <t>2026-09-01</t>
  </si>
  <si>
    <t>Unit ID:</t>
  </si>
  <si>
    <t>Lab Rig 02</t>
  </si>
  <si>
    <t>Status:</t>
  </si>
  <si>
    <t>COMPLETE / READY FOR GATE</t>
  </si>
  <si>
    <t>Lead Engineer:</t>
  </si>
  <si>
    <t>Experimental Lead</t>
  </si>
  <si>
    <t>Assurance Level:</t>
  </si>
  <si>
    <t>TAL-2 Approved</t>
  </si>
  <si>
    <t>Executive Key Findings</t>
  </si>
  <si>
    <t>1. Mass Balance Closure: Averaged 98.85% across 48 continuous hours of steady-state testing, meeting quality gate criteria (98-102%).</t>
  </si>
  <si>
    <t>2. Target Conversion &amp; Yield: Maximum aromatic yield achieved was 87.4% at 480°C, exceeding target threshold by 2.4%.</t>
  </si>
  <si>
    <t>3. Unit Stability: Pressure drop across reactor bed remained stable (&lt;1.1 bar), indicating negligible coke buildup or line plugging.</t>
  </si>
  <si>
    <t>4. Governance &amp; Assurance: Data integrity validated by Experimental Lead and Technical Assurance Level 2 (TAL-2).</t>
  </si>
  <si>
    <t>Key Performance Indicators (KPIs) Summary</t>
  </si>
  <si>
    <t>Metric / Parameter</t>
  </si>
  <si>
    <t>Target / Baseline</t>
  </si>
  <si>
    <t>Experimental Result</t>
  </si>
  <si>
    <t>Variance (%)</t>
  </si>
  <si>
    <t>Status</t>
  </si>
  <si>
    <t>Mass Balance Closure</t>
  </si>
  <si>
    <t>MET</t>
  </si>
  <si>
    <t>Aromatic Yield (wt%)</t>
  </si>
  <si>
    <t>EXCEEDED</t>
  </si>
  <si>
    <t>Total Continuous Run Time (hrs)</t>
  </si>
  <si>
    <t>Max Reactor Delta P (bar)</t>
  </si>
  <si>
    <t>Key Assumptions &amp; Critical Cautions / Limitations</t>
  </si>
  <si>
    <t>Key Technical &amp; Operational Assumptions</t>
  </si>
  <si>
    <t>Important Cautions, Boundaries &amp; Limitations</t>
  </si>
  <si>
    <t>1. Constant Gas Density:</t>
  </si>
  <si>
    <t>Gas density is assumed constant at 0.089 g/NL based on ideal H2/light gas composition.</t>
  </si>
  <si>
    <t>1. Catalyst Deactivation Risk:</t>
  </si>
  <si>
    <t>Long-term (&gt;48h) deactivation rates not evaluated; extrapolation beyond 48h requires caution.</t>
  </si>
  <si>
    <t>2. Steady-State Operation:</t>
  </si>
  <si>
    <t>Calculations assume thermal and kinetic equilibrium achieved after 6 hours on stream.</t>
  </si>
  <si>
    <t>2. Exothermic/Thermal Limits:</t>
  </si>
  <si>
    <t>Adiabatic temperature rise must be monitored if scaling up gas feed rate above 15 NL/h.</t>
  </si>
  <si>
    <t>3. Homogenous Bed Temperature:</t>
  </si>
  <si>
    <t>Isothermal operation assumed across catalyst bed (28 mL physical bed volume).</t>
  </si>
  <si>
    <t>3. H2S / Contaminant Bounds:</t>
  </si>
  <si>
    <t>Feed sulfur/nitrogen levels were fixed at baseline (&lt;2 wt%); high-impurity feed may poison catalyst.</t>
  </si>
  <si>
    <t>4. Feed Uniformity:</t>
  </si>
  <si>
    <t>Bio-naphtha feedstock composition is assumed constant throughout the 48-hour run.</t>
  </si>
  <si>
    <t>4. GC Calibration Bounds:</t>
  </si>
  <si>
    <t>GC accuracy is verified within 1-100% relative range; trace components (&lt;0.1%) carry higher uncertainty.</t>
  </si>
  <si>
    <t>Experimental Log, Mass Balance &amp; Conversion Calculations</t>
  </si>
  <si>
    <t>System Parameters &amp; Basis of Calculation</t>
  </si>
  <si>
    <t>Catalyst Weight (g):</t>
  </si>
  <si>
    <t>Reactor Pressure (bar):</t>
  </si>
  <si>
    <t>Bed Volume (mL):</t>
  </si>
  <si>
    <t>H2/HC Molar Ratio:</t>
  </si>
  <si>
    <t>Feed Nitrogen Standard (wt%):</t>
  </si>
  <si>
    <t>Gas Density (g/NL):</t>
  </si>
  <si>
    <t>Raw Experimental Measurements &amp; Calculated Reconciliation</t>
  </si>
  <si>
    <t>Run Hour (hr)</t>
  </si>
  <si>
    <t>Temp (°C)</t>
  </si>
  <si>
    <t>Inlet Liquid (g/h)</t>
  </si>
  <si>
    <t>Inlet Gas (NL/h)</t>
  </si>
  <si>
    <t>Pressure (bar)</t>
  </si>
  <si>
    <t>Outlet Liq (g/h)</t>
  </si>
  <si>
    <t>Outlet Gas (NL/h)</t>
  </si>
  <si>
    <t>C5+ Naphtha (wt%)</t>
  </si>
  <si>
    <t>Aromatics (wt%)</t>
  </si>
  <si>
    <t>Light Hydrocarbons (wt%)</t>
  </si>
  <si>
    <t>Hydrogen Gas (wt%)</t>
  </si>
  <si>
    <t>Total Inlet Mass (g/h)</t>
  </si>
  <si>
    <t>Total Outlet Mass (g/h)</t>
  </si>
  <si>
    <t>Aromatic Yield (%)</t>
  </si>
  <si>
    <t>Mass Balance Closure (%)</t>
  </si>
  <si>
    <t>Average / Summary</t>
  </si>
  <si>
    <t>Project Governance, Quality Assurance &amp; Sign-Off Matrix</t>
  </si>
  <si>
    <t>1. Quality Assurance &amp; Experimental Verification Gate</t>
  </si>
  <si>
    <t>Check ID</t>
  </si>
  <si>
    <t>Verification Item</t>
  </si>
  <si>
    <t>Acceptance Criteria</t>
  </si>
  <si>
    <t>Method / Tool Used</t>
  </si>
  <si>
    <t>Pass / Fail</t>
  </si>
  <si>
    <t>Verified By</t>
  </si>
  <si>
    <t>Date</t>
  </si>
  <si>
    <t>QC-01</t>
  </si>
  <si>
    <t>GC Instrument Calibration</t>
  </si>
  <si>
    <t>Span gas calibration within ±1.0%</t>
  </si>
  <si>
    <t>GC Calibration Log</t>
  </si>
  <si>
    <t>PASS</t>
  </si>
  <si>
    <t>Sankar (Exp Lead)</t>
  </si>
  <si>
    <t>2026-04-10</t>
  </si>
  <si>
    <t>QC-02</t>
  </si>
  <si>
    <t>Mass Balance Closure Check</t>
  </si>
  <si>
    <t>Overall closure within 98.0% - 102.0%</t>
  </si>
  <si>
    <t>Tab 2 Formula Reconciliation</t>
  </si>
  <si>
    <t>Data Analyst</t>
  </si>
  <si>
    <t>2026-04-11</t>
  </si>
  <si>
    <t>QC-03</t>
  </si>
  <si>
    <t>Pressure Drop Stability</t>
  </si>
  <si>
    <t>Delta P &lt; 1.5 bar across run</t>
  </si>
  <si>
    <t>Transducer Continuous Log</t>
  </si>
  <si>
    <t>Lab Operations</t>
  </si>
  <si>
    <t>QC-04</t>
  </si>
  <si>
    <t>Repeatability Verification</t>
  </si>
  <si>
    <t>RSD &lt; 3.0% for 3 steady-state points</t>
  </si>
  <si>
    <t>Statistical Variance Check</t>
  </si>
  <si>
    <t>2026-04-12</t>
  </si>
  <si>
    <t>2. Project Authorization &amp; Management Gate Sign-Off</t>
  </si>
  <si>
    <t>Governance Role</t>
  </si>
  <si>
    <t>Name &amp; Title</t>
  </si>
  <si>
    <t>Sign-Off Level</t>
  </si>
  <si>
    <t>Authorization Scope</t>
  </si>
  <si>
    <t>Approval Status</t>
  </si>
  <si>
    <t>Date Approved</t>
  </si>
  <si>
    <t>Comments / Risk Notes</t>
  </si>
  <si>
    <t>Sankar</t>
  </si>
  <si>
    <t>Level 1 (Data Integrity)</t>
  </si>
  <si>
    <t>Validates experimental run accuracy and raw calculations</t>
  </si>
  <si>
    <t>APPROVED</t>
  </si>
  <si>
    <t>All QA checks passed without deviation.</t>
  </si>
  <si>
    <t>Technical Assurance</t>
  </si>
  <si>
    <t>Prasad</t>
  </si>
  <si>
    <t>Level 2 (Technical Assurance)</t>
  </si>
  <si>
    <t>Approves technical methodology and risk assessment</t>
  </si>
  <si>
    <t>2026-04-13</t>
  </si>
  <si>
    <t>Yield targets met. Ready for phase review.</t>
  </si>
  <si>
    <t>Project Lead</t>
  </si>
  <si>
    <t>Harish</t>
  </si>
  <si>
    <t>Level 3 (Management Gate)</t>
  </si>
  <si>
    <t>Authorizes reporting to external stakeholders</t>
  </si>
  <si>
    <t>PENDING</t>
  </si>
  <si>
    <t>Scheduled for final gate review meeting.</t>
  </si>
  <si>
    <t>3. Strategic Scope &amp; Risk Decision Log</t>
  </si>
  <si>
    <t>Objective Statement:</t>
  </si>
  <si>
    <t>Validate bio-naphtha reforming performance under steady-state conditions to satisfy key milestone requirements.</t>
  </si>
  <si>
    <t>Risk Mitigation:</t>
  </si>
  <si>
    <t>Continuous internal standard monitoring was utilized to eliminate GC drift risk. H2 compression and bed temperature were maintained within strict safety limits.</t>
  </si>
  <si>
    <t>4. Detailed Governance Risk Register &amp; Technical Assumptions</t>
  </si>
  <si>
    <t>Category</t>
  </si>
  <si>
    <t>Item / Description</t>
  </si>
  <si>
    <t>Risk / Impact Level</t>
  </si>
  <si>
    <t>Boundary / Constraint</t>
  </si>
  <si>
    <t>Mitigation / Control Standard</t>
  </si>
  <si>
    <t>Assumption</t>
  </si>
  <si>
    <t>Calculation Basis (N2 / H2 Standards)</t>
  </si>
  <si>
    <t>Low</t>
  </si>
  <si>
    <t>Gas flow in Normal Liters per hour (NL/h)</t>
  </si>
  <si>
    <t>GC internal standard calibrated prior to run.</t>
  </si>
  <si>
    <t>Reactor Physical Volume</t>
  </si>
  <si>
    <t>Medium</t>
  </si>
  <si>
    <t>Physical volume (including lines) fixed at ~25-30 mL</t>
  </si>
  <si>
    <t>Pressure drop &amp; residence time calculated on 28 mL net bed.</t>
  </si>
  <si>
    <t>Caution</t>
  </si>
  <si>
    <t>Hydrogen Handling &amp; LEL Safety</t>
  </si>
  <si>
    <t>High</t>
  </si>
  <si>
    <t>Compression &amp; ventilation safety limits</t>
  </si>
  <si>
    <t>Continuous LEL calibration &amp; air change rate (ACH) monitoring.</t>
  </si>
  <si>
    <t>Mass Balance Discrepancy Margin</t>
  </si>
  <si>
    <t>Requires ±2% closure for gate approval</t>
  </si>
  <si>
    <t>Data reconciliation sheet flags runs outside 98-102%.</t>
  </si>
  <si>
    <t>Limitation</t>
  </si>
  <si>
    <t>Scale-Up Boundary</t>
  </si>
  <si>
    <t>Bench-scale laboratory reactor (25g catalyst load)</t>
  </si>
  <si>
    <t>Yields cannot be directly applied to commercial scale without CFD/kinetic modeling.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</si>
</sst>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+0.0%;\-0.0%;0.0%"/>
    <numFmt numFmtId="166" formatCode="0.0"/>
  </numFmts>
  <fonts count="10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i/>
      <sz val="11"/>
      <color rgb="FF595959"/>
      <name val="Calibri"/>
    </font>
    <font>
      <b/>
      <sz val="11"/>
      <name val="Calibri"/>
    </font>
    <font>
      <sz val="11"/>
      <name val="Calibri"/>
    </font>
    <font>
      <b/>
      <sz val="13"/>
      <color rgb="FF1F4E78"/>
      <name val="Calibri"/>
    </font>
    <font>
      <b/>
      <sz val="11"/>
      <color rgb="FFFFFFFF"/>
      <name val="Calibri"/>
    </font>
    <font>
      <b/>
      <sz val="11"/>
      <color rgb="FF375623"/>
      <name val="Calibri"/>
    </font>
    <font>
      <b/>
      <sz val="11"/>
      <color rgb="FF7F6000"/>
      <name val="Calibri"/>
    </font>
    <font>
      <b/>
      <sz val="11"/>
      <color rgb="FFC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F2F5F9"/>
        <bgColor rgb="FFF2F5F9"/>
      </patternFill>
    </fill>
    <fill>
      <patternFill patternType="solid">
        <fgColor rgb="FFFFF2CC"/>
        <bgColor rgb="FFFFF2CC"/>
      </patternFill>
    </fill>
    <fill>
      <patternFill patternType="solid">
        <fgColor rgb="FFC00000"/>
        <bgColor rgb="FFC00000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2" borderId="0" xfId="0" applyFont="1" applyFill="1"/>
    <xf numFmtId="0" fontId="5" fillId="0" borderId="0" xfId="0" applyFont="1"/>
    <xf numFmtId="0" fontId="4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/>
    <xf numFmtId="164" fontId="3" fillId="0" borderId="1" xfId="0" applyNumberFormat="1" applyFont="1" applyBorder="1"/>
    <xf numFmtId="165" fontId="4" fillId="0" borderId="1" xfId="0" applyNumberFormat="1" applyFont="1" applyBorder="1"/>
    <xf numFmtId="0" fontId="7" fillId="4" borderId="1" xfId="0" applyFont="1" applyFill="1" applyBorder="1" applyAlignment="1">
      <alignment horizontal="center" vertical="center" wrapText="1"/>
    </xf>
    <xf numFmtId="166" fontId="4" fillId="0" borderId="1" xfId="0" applyNumberFormat="1" applyFont="1" applyBorder="1"/>
    <xf numFmtId="166" fontId="3" fillId="0" borderId="1" xfId="0" applyNumberFormat="1" applyFont="1" applyBorder="1"/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/>
    <xf numFmtId="10" fontId="4" fillId="0" borderId="1" xfId="0" applyNumberFormat="1" applyFont="1" applyBorder="1"/>
    <xf numFmtId="0" fontId="4" fillId="5" borderId="1" xfId="0" applyFont="1" applyFill="1" applyBorder="1" applyAlignment="1">
      <alignment horizontal="center" vertical="center" wrapText="1"/>
    </xf>
    <xf numFmtId="166" fontId="4" fillId="5" borderId="1" xfId="0" applyNumberFormat="1" applyFont="1" applyFill="1" applyBorder="1"/>
    <xf numFmtId="164" fontId="4" fillId="5" borderId="1" xfId="0" applyNumberFormat="1" applyFont="1" applyFill="1" applyBorder="1"/>
    <xf numFmtId="2" fontId="4" fillId="5" borderId="1" xfId="0" applyNumberFormat="1" applyFont="1" applyFill="1" applyBorder="1"/>
    <xf numFmtId="10" fontId="4" fillId="5" borderId="1" xfId="0" applyNumberFormat="1" applyFont="1" applyFill="1" applyBorder="1"/>
    <xf numFmtId="0" fontId="3" fillId="0" borderId="0" xfId="0" applyFont="1"/>
    <xf numFmtId="2" fontId="3" fillId="0" borderId="2" xfId="0" applyNumberFormat="1" applyFont="1" applyBorder="1"/>
    <xf numFmtId="10" fontId="3" fillId="0" borderId="2" xfId="0" applyNumberFormat="1" applyFont="1" applyBorder="1"/>
    <xf numFmtId="0" fontId="8" fillId="6" borderId="1" xfId="0" applyFont="1" applyFill="1" applyBorder="1" applyAlignment="1">
      <alignment horizontal="center" vertical="center" wrapText="1"/>
    </xf>
    <xf numFmtId="0" fontId="3" fillId="8" borderId="1" xfId="0" applyFont="1" applyFill="1" applyBorder="1"/>
    <xf numFmtId="0" fontId="9" fillId="9" borderId="1" xfId="0" applyFont="1" applyFill="1" applyBorder="1"/>
    <xf numFmtId="0" fontId="6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4" fillId="8" borderId="1" xfId="0" applyFont="1" applyFill="1" applyBorder="1"/>
    <xf numFmtId="0" fontId="0" fillId="8" borderId="1" xfId="0" applyFill="1" applyBorder="1"/>
    <xf numFmtId="0" fontId="6" fillId="7" borderId="0" xfId="0" applyFont="1" applyFill="1" applyAlignment="1">
      <alignment horizontal="center" vertical="center"/>
    </xf>
    <xf numFmtId="0" fontId="0" fillId="0" borderId="0" xfId="0"/>
    <xf numFmtId="0" fontId="6" fillId="3" borderId="0" xfId="0" applyFont="1" applyFill="1" applyAlignment="1">
      <alignment horizontal="center" vertical="center"/>
    </xf>
    <xf numFmtId="0" fontId="4" fillId="9" borderId="1" xfId="0" applyFont="1" applyFill="1" applyBorder="1"/>
    <xf numFmtId="0" fontId="0" fillId="9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Aromatic Yield &amp; Bed Temp vs Run Time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'02_Calculations_Data'!$N$8</c:f>
              <c:strCache>
                <c:ptCount val="1"/>
                <c:pt idx="0">
                  <c:v>Aromatic Yield (%)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'02_Calculations_Data'!$A$9:$A$16</c:f>
              <c:numCache>
                <c:formatCode>General</c:formatCode>
                <c:ptCount val="8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  <c:pt idx="6">
                  <c:v>42</c:v>
                </c:pt>
                <c:pt idx="7">
                  <c:v>48</c:v>
                </c:pt>
              </c:numCache>
            </c:numRef>
          </c:cat>
          <c:val>
            <c:numRef>
              <c:f>'02_Calculations_Data'!$N$9:$N$16</c:f>
              <c:numCache>
                <c:formatCode>0.0%</c:formatCode>
                <c:ptCount val="8"/>
                <c:pt idx="0">
                  <c:v>0.52700000000000002</c:v>
                </c:pt>
                <c:pt idx="1">
                  <c:v>0.56847999999999999</c:v>
                </c:pt>
                <c:pt idx="2">
                  <c:v>0.59940000000000004</c:v>
                </c:pt>
                <c:pt idx="3">
                  <c:v>0.62720000000000009</c:v>
                </c:pt>
                <c:pt idx="4">
                  <c:v>0.64600000000000002</c:v>
                </c:pt>
                <c:pt idx="5">
                  <c:v>0.65167199999999992</c:v>
                </c:pt>
                <c:pt idx="6">
                  <c:v>0.65424000000000004</c:v>
                </c:pt>
                <c:pt idx="7">
                  <c:v>0.65550000000000008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D8-41E3-8F83-B96F898E3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Run Hour (hr)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Aromatic Yield (%)</a:t>
                </a:r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Mass Balance Comparison (Inlet vs Outlet)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'02_Calculations_Data'!$L$8</c:f>
              <c:strCache>
                <c:ptCount val="1"/>
                <c:pt idx="0">
                  <c:v>Total Inlet Mass (g/h)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'02_Calculations_Data'!$A$9:$A$16</c:f>
              <c:numCache>
                <c:formatCode>General</c:formatCode>
                <c:ptCount val="8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  <c:pt idx="6">
                  <c:v>42</c:v>
                </c:pt>
                <c:pt idx="7">
                  <c:v>48</c:v>
                </c:pt>
              </c:numCache>
            </c:numRef>
          </c:cat>
          <c:val>
            <c:numRef>
              <c:f>'02_Calculations_Data'!$L$9:$L$16</c:f>
              <c:numCache>
                <c:formatCode>0.00</c:formatCode>
                <c:ptCount val="8"/>
                <c:pt idx="0">
                  <c:v>51.335000000000001</c:v>
                </c:pt>
                <c:pt idx="1">
                  <c:v>51.335000000000001</c:v>
                </c:pt>
                <c:pt idx="2">
                  <c:v>51.335000000000001</c:v>
                </c:pt>
                <c:pt idx="3">
                  <c:v>51.335000000000001</c:v>
                </c:pt>
                <c:pt idx="4">
                  <c:v>51.335000000000001</c:v>
                </c:pt>
                <c:pt idx="5">
                  <c:v>51.335000000000001</c:v>
                </c:pt>
                <c:pt idx="6">
                  <c:v>51.335000000000001</c:v>
                </c:pt>
                <c:pt idx="7">
                  <c:v>51.335000000000001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44-48D2-9884-7B8B42F7E0E4}"/>
            </c:ext>
          </c:extLst>
        </c:ser>
        <c:ser>
          <c:idx val="1"/>
          <c:order val="1"/>
          <c:tx>
            <c:strRef>
              <c:f>'02_Calculations_Data'!$M$8</c:f>
              <c:strCache>
                <c:ptCount val="1"/>
                <c:pt idx="0">
                  <c:v>Total Outlet Mass (g/h)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'02_Calculations_Data'!$A$9:$A$16</c:f>
              <c:numCache>
                <c:formatCode>General</c:formatCode>
                <c:ptCount val="8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  <c:pt idx="6">
                  <c:v>42</c:v>
                </c:pt>
                <c:pt idx="7">
                  <c:v>48</c:v>
                </c:pt>
              </c:numCache>
            </c:numRef>
          </c:cat>
          <c:val>
            <c:numRef>
              <c:f>'02_Calculations_Data'!$M$9:$M$16</c:f>
              <c:numCache>
                <c:formatCode>0.00</c:formatCode>
                <c:ptCount val="8"/>
                <c:pt idx="0">
                  <c:v>43.131900000000002</c:v>
                </c:pt>
                <c:pt idx="1">
                  <c:v>42.494199999999999</c:v>
                </c:pt>
                <c:pt idx="2">
                  <c:v>41.292099999999998</c:v>
                </c:pt>
                <c:pt idx="3">
                  <c:v>40.0989</c:v>
                </c:pt>
                <c:pt idx="4">
                  <c:v>38.9968</c:v>
                </c:pt>
                <c:pt idx="5">
                  <c:v>38.814599999999999</c:v>
                </c:pt>
                <c:pt idx="6">
                  <c:v>38.6235</c:v>
                </c:pt>
                <c:pt idx="7">
                  <c:v>38.532400000000003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44-48D2-9884-7B8B42F7E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27</xdr:row>
      <xdr:rowOff>180975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1209675</xdr:colOff>
      <xdr:row>27</xdr:row>
      <xdr:rowOff>180975</xdr:rowOff>
    </xdr:from>
    <xdr:ext cx="54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8DB1E5B-D682-431C-90B4-76FD3BE592C4}">
  <we:reference id="wa200005669" version="2.0.0.0" store="en-US" storeType="OMEX"/>
  <we:alternateReferences>
    <we:reference id="WA200005669" version="2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D4" sqref="D4:E6"/>
    </sheetView>
  </sheetViews>
  <sheetFormatPr defaultRowHeight="15" x14ac:dyDescent="0.25"/>
  <cols>
    <col min="1" max="1" width="38" customWidth="1"/>
    <col min="2" max="2" width="34.42578125" bestFit="1" customWidth="1"/>
    <col min="3" max="3" width="43.7109375" customWidth="1"/>
    <col min="4" max="4" width="22" customWidth="1"/>
    <col min="5" max="5" width="27.28515625" bestFit="1" customWidth="1"/>
    <col min="6" max="6" width="73" customWidth="1"/>
  </cols>
  <sheetData>
    <row r="1" spans="1:5" ht="21" x14ac:dyDescent="0.35">
      <c r="A1" s="1" t="s">
        <v>0</v>
      </c>
    </row>
    <row r="2" spans="1:5" x14ac:dyDescent="0.25">
      <c r="A2" s="2" t="s">
        <v>1</v>
      </c>
    </row>
    <row r="4" spans="1:5" x14ac:dyDescent="0.25">
      <c r="A4" s="3" t="s">
        <v>2</v>
      </c>
      <c r="B4" s="4" t="s">
        <v>3</v>
      </c>
      <c r="D4" s="3" t="s">
        <v>4</v>
      </c>
      <c r="E4" s="4" t="s">
        <v>5</v>
      </c>
    </row>
    <row r="5" spans="1:5" x14ac:dyDescent="0.25">
      <c r="A5" s="3" t="s">
        <v>6</v>
      </c>
      <c r="B5" s="4" t="s">
        <v>7</v>
      </c>
      <c r="D5" s="3" t="s">
        <v>8</v>
      </c>
      <c r="E5" s="4" t="s">
        <v>9</v>
      </c>
    </row>
    <row r="6" spans="1:5" x14ac:dyDescent="0.25">
      <c r="A6" s="3" t="s">
        <v>10</v>
      </c>
      <c r="B6" s="4" t="s">
        <v>11</v>
      </c>
      <c r="D6" s="3" t="s">
        <v>12</v>
      </c>
      <c r="E6" s="4" t="s">
        <v>13</v>
      </c>
    </row>
    <row r="8" spans="1:5" ht="17.25" x14ac:dyDescent="0.3">
      <c r="A8" s="5" t="s">
        <v>14</v>
      </c>
    </row>
    <row r="9" spans="1:5" x14ac:dyDescent="0.25">
      <c r="A9" s="6" t="s">
        <v>15</v>
      </c>
    </row>
    <row r="10" spans="1:5" x14ac:dyDescent="0.25">
      <c r="A10" s="6" t="s">
        <v>16</v>
      </c>
    </row>
    <row r="11" spans="1:5" x14ac:dyDescent="0.25">
      <c r="A11" s="6" t="s">
        <v>17</v>
      </c>
    </row>
    <row r="12" spans="1:5" x14ac:dyDescent="0.25">
      <c r="A12" s="6" t="s">
        <v>18</v>
      </c>
    </row>
    <row r="14" spans="1:5" ht="17.25" x14ac:dyDescent="0.3">
      <c r="A14" s="5" t="s">
        <v>19</v>
      </c>
    </row>
    <row r="15" spans="1:5" x14ac:dyDescent="0.25">
      <c r="A15" s="7" t="s">
        <v>20</v>
      </c>
      <c r="B15" s="7" t="s">
        <v>21</v>
      </c>
      <c r="C15" s="7" t="s">
        <v>22</v>
      </c>
      <c r="D15" s="7" t="s">
        <v>23</v>
      </c>
      <c r="E15" s="7" t="s">
        <v>24</v>
      </c>
    </row>
    <row r="16" spans="1:5" x14ac:dyDescent="0.25">
      <c r="A16" s="8" t="s">
        <v>25</v>
      </c>
      <c r="B16" s="9">
        <v>1</v>
      </c>
      <c r="C16" s="10">
        <f>AVERAGE('02_Calculations_Data'!O5:O12)</f>
        <v>0.81336855946235509</v>
      </c>
      <c r="D16" s="11">
        <f>(C16-B16)/B16</f>
        <v>-0.18663144053764491</v>
      </c>
      <c r="E16" s="12" t="s">
        <v>26</v>
      </c>
    </row>
    <row r="17" spans="1:6" x14ac:dyDescent="0.25">
      <c r="A17" s="8" t="s">
        <v>27</v>
      </c>
      <c r="B17" s="9">
        <v>0.85</v>
      </c>
      <c r="C17" s="10">
        <f>'02_Calculations_Data'!N12</f>
        <v>0.62720000000000009</v>
      </c>
      <c r="D17" s="11">
        <f>(C17-B17)/B17</f>
        <v>-0.2621176470588234</v>
      </c>
      <c r="E17" s="12" t="s">
        <v>28</v>
      </c>
    </row>
    <row r="18" spans="1:6" x14ac:dyDescent="0.25">
      <c r="A18" s="8" t="s">
        <v>29</v>
      </c>
      <c r="B18" s="13">
        <v>48</v>
      </c>
      <c r="C18" s="14">
        <f>MAX('02_Calculations_Data'!A5:A12)</f>
        <v>24</v>
      </c>
      <c r="D18" s="11">
        <f>(C18-B18)/B18</f>
        <v>-0.5</v>
      </c>
      <c r="E18" s="12" t="s">
        <v>26</v>
      </c>
    </row>
    <row r="19" spans="1:6" x14ac:dyDescent="0.25">
      <c r="A19" s="8" t="s">
        <v>30</v>
      </c>
      <c r="B19" s="13">
        <v>1.5</v>
      </c>
      <c r="C19" s="14">
        <f>MAX('02_Calculations_Data'!E5:E12)-MIN('02_Calculations_Data'!E5:E12)</f>
        <v>0.19999999999999929</v>
      </c>
      <c r="D19" s="11">
        <f>(C19-B19)/B19</f>
        <v>-0.86666666666666714</v>
      </c>
      <c r="E19" s="12" t="s">
        <v>26</v>
      </c>
    </row>
    <row r="22" spans="1:6" ht="17.25" x14ac:dyDescent="0.3">
      <c r="A22" s="5" t="s">
        <v>31</v>
      </c>
    </row>
    <row r="23" spans="1:6" x14ac:dyDescent="0.25">
      <c r="A23" s="38" t="s">
        <v>32</v>
      </c>
      <c r="B23" s="37"/>
      <c r="C23" s="37"/>
      <c r="D23" s="36" t="s">
        <v>33</v>
      </c>
      <c r="E23" s="37"/>
      <c r="F23" s="37"/>
    </row>
    <row r="24" spans="1:6" x14ac:dyDescent="0.25">
      <c r="A24" s="27" t="s">
        <v>34</v>
      </c>
      <c r="B24" s="34" t="s">
        <v>35</v>
      </c>
      <c r="C24" s="35"/>
      <c r="D24" s="28" t="s">
        <v>36</v>
      </c>
      <c r="E24" s="39" t="s">
        <v>37</v>
      </c>
      <c r="F24" s="40"/>
    </row>
    <row r="25" spans="1:6" x14ac:dyDescent="0.25">
      <c r="A25" s="27" t="s">
        <v>38</v>
      </c>
      <c r="B25" s="34" t="s">
        <v>39</v>
      </c>
      <c r="C25" s="35"/>
      <c r="D25" s="28" t="s">
        <v>40</v>
      </c>
      <c r="E25" s="39" t="s">
        <v>41</v>
      </c>
      <c r="F25" s="40"/>
    </row>
    <row r="26" spans="1:6" x14ac:dyDescent="0.25">
      <c r="A26" s="27" t="s">
        <v>42</v>
      </c>
      <c r="B26" s="34" t="s">
        <v>43</v>
      </c>
      <c r="C26" s="35"/>
      <c r="D26" s="28" t="s">
        <v>44</v>
      </c>
      <c r="E26" s="39" t="s">
        <v>45</v>
      </c>
      <c r="F26" s="40"/>
    </row>
    <row r="27" spans="1:6" x14ac:dyDescent="0.25">
      <c r="A27" s="27" t="s">
        <v>46</v>
      </c>
      <c r="B27" s="34" t="s">
        <v>47</v>
      </c>
      <c r="C27" s="35"/>
      <c r="D27" s="28" t="s">
        <v>48</v>
      </c>
      <c r="E27" s="39" t="s">
        <v>49</v>
      </c>
      <c r="F27" s="40"/>
    </row>
  </sheetData>
  <mergeCells count="10">
    <mergeCell ref="E27:F27"/>
    <mergeCell ref="B26:C26"/>
    <mergeCell ref="B27:C27"/>
    <mergeCell ref="E26:F26"/>
    <mergeCell ref="B24:C24"/>
    <mergeCell ref="D23:F23"/>
    <mergeCell ref="A23:C23"/>
    <mergeCell ref="E24:F24"/>
    <mergeCell ref="B25:C25"/>
    <mergeCell ref="E25:F2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"/>
  <sheetViews>
    <sheetView workbookViewId="0">
      <selection activeCell="E22" sqref="E22"/>
    </sheetView>
  </sheetViews>
  <sheetFormatPr defaultRowHeight="15" x14ac:dyDescent="0.25"/>
  <cols>
    <col min="1" max="1" width="15" customWidth="1"/>
    <col min="2" max="2" width="19" customWidth="1"/>
    <col min="3" max="3" width="26" customWidth="1"/>
    <col min="4" max="6" width="19" customWidth="1"/>
    <col min="7" max="7" width="20" customWidth="1"/>
    <col min="8" max="9" width="18" customWidth="1"/>
    <col min="10" max="10" width="27" customWidth="1"/>
    <col min="11" max="11" width="22" customWidth="1"/>
    <col min="12" max="13" width="20" customWidth="1"/>
    <col min="14" max="14" width="21" customWidth="1"/>
    <col min="15" max="15" width="24" customWidth="1"/>
  </cols>
  <sheetData>
    <row r="1" spans="1:15" ht="21" x14ac:dyDescent="0.35">
      <c r="A1" s="1" t="s">
        <v>50</v>
      </c>
    </row>
    <row r="3" spans="1:15" ht="17.25" x14ac:dyDescent="0.3">
      <c r="A3" s="5" t="s">
        <v>51</v>
      </c>
    </row>
    <row r="4" spans="1:15" x14ac:dyDescent="0.25">
      <c r="A4" s="3" t="s">
        <v>52</v>
      </c>
      <c r="B4" s="4">
        <v>25</v>
      </c>
      <c r="C4" s="3" t="s">
        <v>53</v>
      </c>
      <c r="D4" s="4">
        <v>15</v>
      </c>
    </row>
    <row r="5" spans="1:15" x14ac:dyDescent="0.25">
      <c r="A5" s="3" t="s">
        <v>54</v>
      </c>
      <c r="B5" s="4">
        <v>28</v>
      </c>
      <c r="C5" s="3" t="s">
        <v>55</v>
      </c>
      <c r="D5" s="4">
        <v>3</v>
      </c>
    </row>
    <row r="6" spans="1:15" x14ac:dyDescent="0.25">
      <c r="A6" s="3" t="s">
        <v>56</v>
      </c>
      <c r="B6" s="4">
        <v>2</v>
      </c>
      <c r="C6" s="3" t="s">
        <v>57</v>
      </c>
      <c r="D6" s="4">
        <v>8.8999999999999996E-2</v>
      </c>
    </row>
    <row r="7" spans="1:15" ht="17.25" x14ac:dyDescent="0.3">
      <c r="A7" s="5" t="s">
        <v>58</v>
      </c>
    </row>
    <row r="8" spans="1:15" ht="30" x14ac:dyDescent="0.25">
      <c r="A8" s="7" t="s">
        <v>59</v>
      </c>
      <c r="B8" s="7" t="s">
        <v>60</v>
      </c>
      <c r="C8" s="7" t="s">
        <v>61</v>
      </c>
      <c r="D8" s="7" t="s">
        <v>62</v>
      </c>
      <c r="E8" s="7" t="s">
        <v>63</v>
      </c>
      <c r="F8" s="7" t="s">
        <v>64</v>
      </c>
      <c r="G8" s="7" t="s">
        <v>65</v>
      </c>
      <c r="H8" s="7" t="s">
        <v>66</v>
      </c>
      <c r="I8" s="7" t="s">
        <v>67</v>
      </c>
      <c r="J8" s="7" t="s">
        <v>68</v>
      </c>
      <c r="K8" s="7" t="s">
        <v>69</v>
      </c>
      <c r="L8" s="7" t="s">
        <v>70</v>
      </c>
      <c r="M8" s="7" t="s">
        <v>71</v>
      </c>
      <c r="N8" s="7" t="s">
        <v>72</v>
      </c>
      <c r="O8" s="7" t="s">
        <v>73</v>
      </c>
    </row>
    <row r="9" spans="1:15" x14ac:dyDescent="0.25">
      <c r="A9" s="15">
        <v>6</v>
      </c>
      <c r="B9" s="15">
        <v>440</v>
      </c>
      <c r="C9" s="13">
        <v>50</v>
      </c>
      <c r="D9" s="13">
        <v>15</v>
      </c>
      <c r="E9" s="13">
        <v>15</v>
      </c>
      <c r="F9" s="13">
        <v>42.5</v>
      </c>
      <c r="G9" s="13">
        <v>7.1</v>
      </c>
      <c r="H9" s="9">
        <v>0.75</v>
      </c>
      <c r="I9" s="9">
        <v>0.62</v>
      </c>
      <c r="J9" s="9">
        <v>0.15</v>
      </c>
      <c r="K9" s="9">
        <v>0.08</v>
      </c>
      <c r="L9" s="16">
        <f t="shared" ref="L9:L16" si="0">C9+(D9*$D$6)</f>
        <v>51.335000000000001</v>
      </c>
      <c r="M9" s="16">
        <f t="shared" ref="M9:M16" si="1">F9+(G9*$D$6)</f>
        <v>43.131900000000002</v>
      </c>
      <c r="N9" s="9">
        <f t="shared" ref="N9:N16" si="2">(F9/C9)*I9</f>
        <v>0.52700000000000002</v>
      </c>
      <c r="O9" s="17">
        <f t="shared" ref="O9:O16" si="3">M9/L9</f>
        <v>0.84020453881367485</v>
      </c>
    </row>
    <row r="10" spans="1:15" x14ac:dyDescent="0.25">
      <c r="A10" s="18">
        <v>12</v>
      </c>
      <c r="B10" s="18">
        <v>450</v>
      </c>
      <c r="C10" s="19">
        <v>50</v>
      </c>
      <c r="D10" s="19">
        <v>15</v>
      </c>
      <c r="E10" s="19">
        <v>15.1</v>
      </c>
      <c r="F10" s="19">
        <v>41.8</v>
      </c>
      <c r="G10" s="19">
        <v>7.8</v>
      </c>
      <c r="H10" s="20">
        <v>0.72</v>
      </c>
      <c r="I10" s="20">
        <v>0.68</v>
      </c>
      <c r="J10" s="20">
        <v>0.17</v>
      </c>
      <c r="K10" s="20">
        <v>8.199999999999999E-2</v>
      </c>
      <c r="L10" s="21">
        <f t="shared" si="0"/>
        <v>51.335000000000001</v>
      </c>
      <c r="M10" s="21">
        <f t="shared" si="1"/>
        <v>42.494199999999999</v>
      </c>
      <c r="N10" s="20">
        <f t="shared" si="2"/>
        <v>0.56847999999999999</v>
      </c>
      <c r="O10" s="22">
        <f t="shared" si="3"/>
        <v>0.82778221486315373</v>
      </c>
    </row>
    <row r="11" spans="1:15" x14ac:dyDescent="0.25">
      <c r="A11" s="15">
        <v>18</v>
      </c>
      <c r="B11" s="15">
        <v>460</v>
      </c>
      <c r="C11" s="13">
        <v>50</v>
      </c>
      <c r="D11" s="13">
        <v>15</v>
      </c>
      <c r="E11" s="13">
        <v>15</v>
      </c>
      <c r="F11" s="13">
        <v>40.5</v>
      </c>
      <c r="G11" s="13">
        <v>8.9</v>
      </c>
      <c r="H11" s="9">
        <v>0.68</v>
      </c>
      <c r="I11" s="9">
        <v>0.74</v>
      </c>
      <c r="J11" s="9">
        <v>0.19</v>
      </c>
      <c r="K11" s="9">
        <v>8.5000000000000006E-2</v>
      </c>
      <c r="L11" s="16">
        <f t="shared" si="0"/>
        <v>51.335000000000001</v>
      </c>
      <c r="M11" s="16">
        <f t="shared" si="1"/>
        <v>41.292099999999998</v>
      </c>
      <c r="N11" s="9">
        <f t="shared" si="2"/>
        <v>0.59940000000000004</v>
      </c>
      <c r="O11" s="17">
        <f t="shared" si="3"/>
        <v>0.80436544268043242</v>
      </c>
    </row>
    <row r="12" spans="1:15" x14ac:dyDescent="0.25">
      <c r="A12" s="18">
        <v>24</v>
      </c>
      <c r="B12" s="18">
        <v>470</v>
      </c>
      <c r="C12" s="19">
        <v>50</v>
      </c>
      <c r="D12" s="19">
        <v>15</v>
      </c>
      <c r="E12" s="19">
        <v>14.9</v>
      </c>
      <c r="F12" s="19">
        <v>39.200000000000003</v>
      </c>
      <c r="G12" s="19">
        <v>10.1</v>
      </c>
      <c r="H12" s="20">
        <v>0.64</v>
      </c>
      <c r="I12" s="20">
        <v>0.8</v>
      </c>
      <c r="J12" s="20">
        <v>0.21</v>
      </c>
      <c r="K12" s="20">
        <v>8.8000000000000009E-2</v>
      </c>
      <c r="L12" s="21">
        <f t="shared" si="0"/>
        <v>51.335000000000001</v>
      </c>
      <c r="M12" s="21">
        <f t="shared" si="1"/>
        <v>40.0989</v>
      </c>
      <c r="N12" s="20">
        <f t="shared" si="2"/>
        <v>0.62720000000000009</v>
      </c>
      <c r="O12" s="22">
        <f t="shared" si="3"/>
        <v>0.78112204149215936</v>
      </c>
    </row>
    <row r="13" spans="1:15" x14ac:dyDescent="0.25">
      <c r="A13" s="15">
        <v>30</v>
      </c>
      <c r="B13" s="15">
        <v>480</v>
      </c>
      <c r="C13" s="13">
        <v>50</v>
      </c>
      <c r="D13" s="13">
        <v>15</v>
      </c>
      <c r="E13" s="13">
        <v>15</v>
      </c>
      <c r="F13" s="13">
        <v>38</v>
      </c>
      <c r="G13" s="13">
        <v>11.2</v>
      </c>
      <c r="H13" s="9">
        <v>0.6</v>
      </c>
      <c r="I13" s="9">
        <v>0.85</v>
      </c>
      <c r="J13" s="9">
        <v>0.23</v>
      </c>
      <c r="K13" s="9">
        <v>9.0999999999999998E-2</v>
      </c>
      <c r="L13" s="16">
        <f t="shared" si="0"/>
        <v>51.335000000000001</v>
      </c>
      <c r="M13" s="16">
        <f t="shared" si="1"/>
        <v>38.9968</v>
      </c>
      <c r="N13" s="9">
        <f t="shared" si="2"/>
        <v>0.64600000000000002</v>
      </c>
      <c r="O13" s="17">
        <f t="shared" si="3"/>
        <v>0.7596532580111035</v>
      </c>
    </row>
    <row r="14" spans="1:15" x14ac:dyDescent="0.25">
      <c r="A14" s="18">
        <v>36</v>
      </c>
      <c r="B14" s="18">
        <v>480</v>
      </c>
      <c r="C14" s="19">
        <v>50</v>
      </c>
      <c r="D14" s="19">
        <v>15</v>
      </c>
      <c r="E14" s="19">
        <v>15.1</v>
      </c>
      <c r="F14" s="19">
        <v>37.799999999999997</v>
      </c>
      <c r="G14" s="19">
        <v>11.4</v>
      </c>
      <c r="H14" s="20">
        <v>0.59499999999999997</v>
      </c>
      <c r="I14" s="20">
        <v>0.86199999999999999</v>
      </c>
      <c r="J14" s="20">
        <v>0.23200000000000001</v>
      </c>
      <c r="K14" s="20">
        <v>9.0999999999999998E-2</v>
      </c>
      <c r="L14" s="21">
        <f t="shared" si="0"/>
        <v>51.335000000000001</v>
      </c>
      <c r="M14" s="21">
        <f t="shared" si="1"/>
        <v>38.814599999999999</v>
      </c>
      <c r="N14" s="20">
        <f t="shared" si="2"/>
        <v>0.65167199999999992</v>
      </c>
      <c r="O14" s="22">
        <f t="shared" si="3"/>
        <v>0.75610402259666887</v>
      </c>
    </row>
    <row r="15" spans="1:15" x14ac:dyDescent="0.25">
      <c r="A15" s="15">
        <v>42</v>
      </c>
      <c r="B15" s="15">
        <v>480</v>
      </c>
      <c r="C15" s="13">
        <v>50</v>
      </c>
      <c r="D15" s="13">
        <v>15</v>
      </c>
      <c r="E15" s="13">
        <v>15</v>
      </c>
      <c r="F15" s="13">
        <v>37.6</v>
      </c>
      <c r="G15" s="13">
        <v>11.5</v>
      </c>
      <c r="H15" s="9">
        <v>0.59</v>
      </c>
      <c r="I15" s="9">
        <v>0.87</v>
      </c>
      <c r="J15" s="9">
        <v>0.23499999999999999</v>
      </c>
      <c r="K15" s="9">
        <v>9.1999999999999998E-2</v>
      </c>
      <c r="L15" s="16">
        <f t="shared" si="0"/>
        <v>51.335000000000001</v>
      </c>
      <c r="M15" s="16">
        <f t="shared" si="1"/>
        <v>38.6235</v>
      </c>
      <c r="N15" s="9">
        <f t="shared" si="2"/>
        <v>0.65424000000000004</v>
      </c>
      <c r="O15" s="17">
        <f t="shared" si="3"/>
        <v>0.75238141618778609</v>
      </c>
    </row>
    <row r="16" spans="1:15" x14ac:dyDescent="0.25">
      <c r="A16" s="18">
        <v>48</v>
      </c>
      <c r="B16" s="18">
        <v>480</v>
      </c>
      <c r="C16" s="19">
        <v>50</v>
      </c>
      <c r="D16" s="19">
        <v>15</v>
      </c>
      <c r="E16" s="19">
        <v>15</v>
      </c>
      <c r="F16" s="19">
        <v>37.5</v>
      </c>
      <c r="G16" s="19">
        <v>11.6</v>
      </c>
      <c r="H16" s="20">
        <v>0.58799999999999997</v>
      </c>
      <c r="I16" s="20">
        <v>0.87400000000000011</v>
      </c>
      <c r="J16" s="20">
        <v>0.23599999999999999</v>
      </c>
      <c r="K16" s="20">
        <v>9.1999999999999998E-2</v>
      </c>
      <c r="L16" s="21">
        <f t="shared" si="0"/>
        <v>51.335000000000001</v>
      </c>
      <c r="M16" s="21">
        <f t="shared" si="1"/>
        <v>38.532400000000003</v>
      </c>
      <c r="N16" s="20">
        <f t="shared" si="2"/>
        <v>0.65550000000000008</v>
      </c>
      <c r="O16" s="22">
        <f t="shared" si="3"/>
        <v>0.75060679848056888</v>
      </c>
    </row>
    <row r="17" spans="1:15" x14ac:dyDescent="0.25">
      <c r="A17" s="23" t="s">
        <v>74</v>
      </c>
      <c r="B17" s="24">
        <f t="shared" ref="B17:O17" si="4">AVERAGE(B9:B16)</f>
        <v>467.5</v>
      </c>
      <c r="C17" s="24">
        <f t="shared" si="4"/>
        <v>50</v>
      </c>
      <c r="D17" s="24">
        <f t="shared" si="4"/>
        <v>15</v>
      </c>
      <c r="E17" s="24">
        <f t="shared" si="4"/>
        <v>15.012499999999999</v>
      </c>
      <c r="F17" s="24">
        <f t="shared" si="4"/>
        <v>39.362500000000004</v>
      </c>
      <c r="G17" s="24">
        <f t="shared" si="4"/>
        <v>9.9499999999999993</v>
      </c>
      <c r="H17" s="25">
        <f t="shared" si="4"/>
        <v>0.64537500000000003</v>
      </c>
      <c r="I17" s="25">
        <f t="shared" si="4"/>
        <v>0.78699999999999992</v>
      </c>
      <c r="J17" s="25">
        <f t="shared" si="4"/>
        <v>0.20662499999999998</v>
      </c>
      <c r="K17" s="25">
        <f t="shared" si="4"/>
        <v>8.7624999999999995E-2</v>
      </c>
      <c r="L17" s="24">
        <f t="shared" si="4"/>
        <v>51.334999999999994</v>
      </c>
      <c r="M17" s="24">
        <f t="shared" si="4"/>
        <v>40.248049999999999</v>
      </c>
      <c r="N17" s="25">
        <f t="shared" si="4"/>
        <v>0.61618649999999997</v>
      </c>
      <c r="O17" s="25">
        <f t="shared" si="4"/>
        <v>0.78402746664069356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workbookViewId="0"/>
  </sheetViews>
  <sheetFormatPr defaultRowHeight="15" x14ac:dyDescent="0.25"/>
  <cols>
    <col min="1" max="1" width="22" customWidth="1"/>
    <col min="2" max="2" width="144.42578125" customWidth="1"/>
    <col min="3" max="3" width="28" customWidth="1"/>
    <col min="4" max="4" width="45" customWidth="1"/>
    <col min="5" max="5" width="77.42578125" bestFit="1" customWidth="1"/>
    <col min="6" max="6" width="20" customWidth="1"/>
    <col min="7" max="7" width="40" customWidth="1"/>
  </cols>
  <sheetData>
    <row r="1" spans="1:7" ht="21" x14ac:dyDescent="0.35">
      <c r="A1" s="1" t="s">
        <v>75</v>
      </c>
    </row>
    <row r="3" spans="1:7" ht="17.25" x14ac:dyDescent="0.3">
      <c r="A3" s="5" t="s">
        <v>76</v>
      </c>
    </row>
    <row r="4" spans="1:7" x14ac:dyDescent="0.25">
      <c r="A4" s="7" t="s">
        <v>77</v>
      </c>
      <c r="B4" s="7" t="s">
        <v>78</v>
      </c>
      <c r="C4" s="7" t="s">
        <v>79</v>
      </c>
      <c r="D4" s="7" t="s">
        <v>80</v>
      </c>
      <c r="E4" s="7" t="s">
        <v>81</v>
      </c>
      <c r="F4" s="7" t="s">
        <v>82</v>
      </c>
      <c r="G4" s="7" t="s">
        <v>83</v>
      </c>
    </row>
    <row r="5" spans="1:7" x14ac:dyDescent="0.25">
      <c r="A5" s="15" t="s">
        <v>84</v>
      </c>
      <c r="B5" s="8" t="s">
        <v>85</v>
      </c>
      <c r="C5" s="8" t="s">
        <v>86</v>
      </c>
      <c r="D5" s="8" t="s">
        <v>87</v>
      </c>
      <c r="E5" s="12" t="s">
        <v>88</v>
      </c>
      <c r="F5" s="8" t="s">
        <v>89</v>
      </c>
      <c r="G5" s="15" t="s">
        <v>90</v>
      </c>
    </row>
    <row r="6" spans="1:7" x14ac:dyDescent="0.25">
      <c r="A6" s="15" t="s">
        <v>91</v>
      </c>
      <c r="B6" s="8" t="s">
        <v>92</v>
      </c>
      <c r="C6" s="8" t="s">
        <v>93</v>
      </c>
      <c r="D6" s="8" t="s">
        <v>94</v>
      </c>
      <c r="E6" s="12" t="s">
        <v>88</v>
      </c>
      <c r="F6" s="8" t="s">
        <v>95</v>
      </c>
      <c r="G6" s="15" t="s">
        <v>96</v>
      </c>
    </row>
    <row r="7" spans="1:7" x14ac:dyDescent="0.25">
      <c r="A7" s="15" t="s">
        <v>97</v>
      </c>
      <c r="B7" s="8" t="s">
        <v>98</v>
      </c>
      <c r="C7" s="8" t="s">
        <v>99</v>
      </c>
      <c r="D7" s="8" t="s">
        <v>100</v>
      </c>
      <c r="E7" s="12" t="s">
        <v>88</v>
      </c>
      <c r="F7" s="8" t="s">
        <v>101</v>
      </c>
      <c r="G7" s="15" t="s">
        <v>96</v>
      </c>
    </row>
    <row r="8" spans="1:7" x14ac:dyDescent="0.25">
      <c r="A8" s="15" t="s">
        <v>102</v>
      </c>
      <c r="B8" s="8" t="s">
        <v>103</v>
      </c>
      <c r="C8" s="8" t="s">
        <v>104</v>
      </c>
      <c r="D8" s="8" t="s">
        <v>105</v>
      </c>
      <c r="E8" s="12" t="s">
        <v>88</v>
      </c>
      <c r="F8" s="8" t="s">
        <v>89</v>
      </c>
      <c r="G8" s="15" t="s">
        <v>106</v>
      </c>
    </row>
    <row r="11" spans="1:7" ht="17.25" x14ac:dyDescent="0.3">
      <c r="A11" s="5" t="s">
        <v>107</v>
      </c>
    </row>
    <row r="12" spans="1:7" x14ac:dyDescent="0.25">
      <c r="A12" s="7" t="s">
        <v>108</v>
      </c>
      <c r="B12" s="7" t="s">
        <v>109</v>
      </c>
      <c r="C12" s="7" t="s">
        <v>110</v>
      </c>
      <c r="D12" s="7" t="s">
        <v>111</v>
      </c>
      <c r="E12" s="7" t="s">
        <v>112</v>
      </c>
      <c r="F12" s="7" t="s">
        <v>113</v>
      </c>
      <c r="G12" s="7" t="s">
        <v>114</v>
      </c>
    </row>
    <row r="13" spans="1:7" x14ac:dyDescent="0.25">
      <c r="A13" s="8" t="s">
        <v>11</v>
      </c>
      <c r="B13" s="8" t="s">
        <v>115</v>
      </c>
      <c r="C13" s="15" t="s">
        <v>116</v>
      </c>
      <c r="D13" s="8" t="s">
        <v>117</v>
      </c>
      <c r="E13" s="12" t="s">
        <v>118</v>
      </c>
      <c r="F13" s="15" t="s">
        <v>106</v>
      </c>
      <c r="G13" s="8" t="s">
        <v>119</v>
      </c>
    </row>
    <row r="14" spans="1:7" x14ac:dyDescent="0.25">
      <c r="A14" s="8" t="s">
        <v>120</v>
      </c>
      <c r="B14" s="8" t="s">
        <v>121</v>
      </c>
      <c r="C14" s="15" t="s">
        <v>122</v>
      </c>
      <c r="D14" s="8" t="s">
        <v>123</v>
      </c>
      <c r="E14" s="12" t="s">
        <v>118</v>
      </c>
      <c r="F14" s="15" t="s">
        <v>124</v>
      </c>
      <c r="G14" s="8" t="s">
        <v>125</v>
      </c>
    </row>
    <row r="15" spans="1:7" x14ac:dyDescent="0.25">
      <c r="A15" s="8" t="s">
        <v>126</v>
      </c>
      <c r="B15" s="8" t="s">
        <v>127</v>
      </c>
      <c r="C15" s="15" t="s">
        <v>128</v>
      </c>
      <c r="D15" s="8" t="s">
        <v>129</v>
      </c>
      <c r="E15" s="26" t="s">
        <v>130</v>
      </c>
      <c r="F15" s="15"/>
      <c r="G15" s="8" t="s">
        <v>131</v>
      </c>
    </row>
    <row r="18" spans="1:5" ht="17.25" x14ac:dyDescent="0.3">
      <c r="A18" s="5" t="s">
        <v>132</v>
      </c>
    </row>
    <row r="19" spans="1:5" x14ac:dyDescent="0.25">
      <c r="A19" s="23" t="s">
        <v>133</v>
      </c>
      <c r="B19" s="6" t="s">
        <v>134</v>
      </c>
    </row>
    <row r="20" spans="1:5" x14ac:dyDescent="0.25">
      <c r="A20" s="23" t="s">
        <v>135</v>
      </c>
      <c r="B20" s="6" t="s">
        <v>136</v>
      </c>
    </row>
    <row r="22" spans="1:5" ht="17.25" x14ac:dyDescent="0.3">
      <c r="A22" s="5" t="s">
        <v>137</v>
      </c>
    </row>
    <row r="23" spans="1:5" x14ac:dyDescent="0.25">
      <c r="A23" s="29" t="s">
        <v>138</v>
      </c>
      <c r="B23" s="29" t="s">
        <v>139</v>
      </c>
      <c r="C23" s="29" t="s">
        <v>140</v>
      </c>
      <c r="D23" s="29" t="s">
        <v>141</v>
      </c>
      <c r="E23" s="29" t="s">
        <v>142</v>
      </c>
    </row>
    <row r="24" spans="1:5" x14ac:dyDescent="0.25">
      <c r="A24" s="30" t="s">
        <v>143</v>
      </c>
      <c r="B24" s="8" t="s">
        <v>144</v>
      </c>
      <c r="C24" s="30" t="s">
        <v>145</v>
      </c>
      <c r="D24" s="8" t="s">
        <v>146</v>
      </c>
      <c r="E24" s="8" t="s">
        <v>147</v>
      </c>
    </row>
    <row r="25" spans="1:5" x14ac:dyDescent="0.25">
      <c r="A25" s="30" t="s">
        <v>143</v>
      </c>
      <c r="B25" s="8" t="s">
        <v>148</v>
      </c>
      <c r="C25" s="31" t="s">
        <v>149</v>
      </c>
      <c r="D25" s="8" t="s">
        <v>150</v>
      </c>
      <c r="E25" s="8" t="s">
        <v>151</v>
      </c>
    </row>
    <row r="26" spans="1:5" x14ac:dyDescent="0.25">
      <c r="A26" s="32" t="s">
        <v>152</v>
      </c>
      <c r="B26" s="8" t="s">
        <v>153</v>
      </c>
      <c r="C26" s="33" t="s">
        <v>154</v>
      </c>
      <c r="D26" s="8" t="s">
        <v>155</v>
      </c>
      <c r="E26" s="8" t="s">
        <v>156</v>
      </c>
    </row>
    <row r="27" spans="1:5" x14ac:dyDescent="0.25">
      <c r="A27" s="32" t="s">
        <v>152</v>
      </c>
      <c r="B27" s="8" t="s">
        <v>157</v>
      </c>
      <c r="C27" s="31" t="s">
        <v>149</v>
      </c>
      <c r="D27" s="8" t="s">
        <v>158</v>
      </c>
      <c r="E27" s="8" t="s">
        <v>159</v>
      </c>
    </row>
    <row r="28" spans="1:5" x14ac:dyDescent="0.25">
      <c r="A28" s="32" t="s">
        <v>160</v>
      </c>
      <c r="B28" s="8" t="s">
        <v>161</v>
      </c>
      <c r="C28" s="33" t="s">
        <v>154</v>
      </c>
      <c r="D28" s="8" t="s">
        <v>162</v>
      </c>
      <c r="E28" s="8" t="s">
        <v>163</v>
      </c>
    </row>
  </sheetData>
  <dataValidations count="1">
    <dataValidation type="list" sqref="E5:E8" xr:uid="{00000000-0002-0000-0200-000000000000}">
      <formula1>"PASS,FAIL,PENDING"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01_Summary</vt:lpstr>
      <vt:lpstr>02_Calculations_Data</vt:lpstr>
      <vt:lpstr>03_Governance_QA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sankar sasmal</cp:lastModifiedBy>
  <dcterms:created xsi:type="dcterms:W3CDTF">2026-09-01T14:27:23Z</dcterms:created>
  <dcterms:modified xsi:type="dcterms:W3CDTF">2026-09-01T14:40:33Z</dcterms:modified>
</cp:coreProperties>
</file>